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6E18DF97-5B1F-41C4-AEA2-BE29CD37C0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talage du 12-05-2026 B" sheetId="1859" r:id="rId1"/>
  </sheets>
  <calcPr calcId="191029"/>
</workbook>
</file>

<file path=xl/calcChain.xml><?xml version="1.0" encoding="utf-8"?>
<calcChain xmlns="http://schemas.openxmlformats.org/spreadsheetml/2006/main">
  <c r="C283" i="1859" l="1"/>
  <c r="B283" i="1859"/>
  <c r="C282" i="1859"/>
  <c r="B282" i="1859"/>
  <c r="C280" i="1859"/>
  <c r="B280" i="1859"/>
  <c r="A280" i="1859"/>
  <c r="D143" i="1859"/>
  <c r="D109" i="1859"/>
  <c r="D59" i="1859"/>
  <c r="D40" i="1859"/>
  <c r="D142" i="1859"/>
  <c r="D115" i="1859"/>
  <c r="D75" i="1859"/>
  <c r="D43" i="1859"/>
  <c r="D14" i="1859"/>
  <c r="D240" i="1859"/>
  <c r="D190" i="1859"/>
  <c r="D149" i="1859"/>
  <c r="D141" i="1859"/>
  <c r="D71" i="1859"/>
  <c r="D39" i="1859"/>
  <c r="D180" i="1859"/>
  <c r="D140" i="1859"/>
  <c r="D108" i="1859"/>
  <c r="D58" i="1859"/>
  <c r="D205" i="1859"/>
  <c r="D159" i="1859"/>
  <c r="D139" i="1859"/>
  <c r="D70" i="1859"/>
  <c r="D272" i="1859"/>
  <c r="D267" i="1859"/>
  <c r="D234" i="1859"/>
  <c r="D220" i="1859"/>
  <c r="D204" i="1859"/>
  <c r="D138" i="1859"/>
  <c r="D271" i="1859"/>
  <c r="D255" i="1859"/>
  <c r="D219" i="1859"/>
  <c r="D198" i="1859"/>
  <c r="D158" i="1859"/>
  <c r="D179" i="1859"/>
  <c r="D69" i="1859"/>
  <c r="D51" i="1859"/>
  <c r="D38" i="1859"/>
  <c r="D178" i="1859"/>
  <c r="D125" i="1859"/>
  <c r="D118" i="1859"/>
  <c r="D68" i="1859"/>
  <c r="D42" i="1859"/>
  <c r="D17" i="1859"/>
  <c r="D218" i="1859"/>
  <c r="D181" i="1859"/>
  <c r="D157" i="1859"/>
  <c r="D114" i="1859"/>
  <c r="D239" i="1859"/>
  <c r="D189" i="1859"/>
  <c r="D92" i="1859"/>
  <c r="D270" i="1859"/>
  <c r="D263" i="1859"/>
  <c r="D233" i="1859"/>
  <c r="D226" i="1859"/>
  <c r="D177" i="1859"/>
  <c r="D87" i="1859"/>
  <c r="D67" i="1859"/>
  <c r="D37" i="1859"/>
  <c r="D276" i="1859"/>
  <c r="D262" i="1859"/>
  <c r="D238" i="1859"/>
  <c r="D176" i="1859"/>
  <c r="D266" i="1859"/>
  <c r="D251" i="1859"/>
  <c r="D225" i="1859"/>
  <c r="D175" i="1859"/>
  <c r="D265" i="1859"/>
  <c r="D254" i="1859"/>
  <c r="D209" i="1859"/>
  <c r="D124" i="1859"/>
  <c r="D91" i="1859"/>
  <c r="D45" i="1859"/>
  <c r="D208" i="1859"/>
  <c r="D174" i="1859"/>
  <c r="D107" i="1859"/>
  <c r="D232" i="1859"/>
  <c r="D188" i="1859"/>
  <c r="D137" i="1859"/>
  <c r="D86" i="1859"/>
  <c r="D261" i="1859"/>
  <c r="D231" i="1859"/>
  <c r="D224" i="1859"/>
  <c r="D173" i="1859"/>
  <c r="D156" i="1859"/>
  <c r="D275" i="1859"/>
  <c r="D260" i="1859"/>
  <c r="D242" i="1859"/>
  <c r="D203" i="1859"/>
  <c r="D155" i="1859"/>
  <c r="D106" i="1859"/>
  <c r="D61" i="1859"/>
  <c r="D66" i="1859"/>
  <c r="D30" i="1859"/>
  <c r="D24" i="1859"/>
  <c r="D21" i="1859"/>
  <c r="D7" i="1859"/>
  <c r="D217" i="1859"/>
  <c r="D192" i="1859"/>
  <c r="D160" i="1859"/>
  <c r="D85" i="1859"/>
  <c r="D57" i="1859"/>
  <c r="D123" i="1859"/>
  <c r="D84" i="1859"/>
  <c r="D77" i="1859"/>
  <c r="D72" i="1859"/>
  <c r="D32" i="1859"/>
  <c r="D20" i="1859"/>
  <c r="D274" i="1859"/>
  <c r="D250" i="1859"/>
  <c r="D216" i="1859"/>
  <c r="D172" i="1859"/>
  <c r="D148" i="1859"/>
  <c r="D105" i="1859"/>
  <c r="D50" i="1859"/>
  <c r="D223" i="1859"/>
  <c r="D147" i="1859"/>
  <c r="D122" i="1859"/>
  <c r="D202" i="1859"/>
  <c r="D56" i="1859"/>
  <c r="D44" i="1859"/>
  <c r="D11" i="1859"/>
  <c r="D191" i="1859"/>
  <c r="D187" i="1859"/>
  <c r="D83" i="1859"/>
  <c r="D55" i="1859"/>
  <c r="D90" i="1859"/>
  <c r="D29" i="1859"/>
  <c r="D19" i="1859"/>
  <c r="D6" i="1859"/>
  <c r="D186" i="1859"/>
  <c r="D146" i="1859"/>
  <c r="D74" i="1859"/>
  <c r="D49" i="1859"/>
  <c r="D278" i="1859"/>
  <c r="D269" i="1859"/>
  <c r="D259" i="1859"/>
  <c r="D207" i="1859"/>
  <c r="D171" i="1859"/>
  <c r="D170" i="1859"/>
  <c r="D117" i="1859"/>
  <c r="D76" i="1859"/>
  <c r="D65" i="1859"/>
  <c r="D249" i="1859"/>
  <c r="D237" i="1859"/>
  <c r="D185" i="1859"/>
  <c r="D121" i="1859"/>
  <c r="D201" i="1859"/>
  <c r="D169" i="1859"/>
  <c r="D113" i="1859"/>
  <c r="D31" i="1859"/>
  <c r="D28" i="1859"/>
  <c r="D13" i="1859"/>
  <c r="D248" i="1859"/>
  <c r="D215" i="1859"/>
  <c r="D197" i="1859"/>
  <c r="D184" i="1859"/>
  <c r="D112" i="1859"/>
  <c r="D168" i="1859"/>
  <c r="D136" i="1859"/>
  <c r="D64" i="1859"/>
  <c r="D167" i="1859"/>
  <c r="D111" i="1859"/>
  <c r="D104" i="1859"/>
  <c r="D27" i="1859"/>
  <c r="D277" i="1859"/>
  <c r="D268" i="1859"/>
  <c r="D247" i="1859"/>
  <c r="D230" i="1859"/>
  <c r="D206" i="1859"/>
  <c r="D120" i="1859"/>
  <c r="D241" i="1859"/>
  <c r="D214" i="1859"/>
  <c r="D166" i="1859"/>
  <c r="D135" i="1859"/>
  <c r="D116" i="1859"/>
  <c r="D253" i="1859"/>
  <c r="D229" i="1859"/>
  <c r="D213" i="1859"/>
  <c r="D134" i="1859"/>
  <c r="D103" i="1859"/>
  <c r="D82" i="1859"/>
  <c r="D133" i="1859"/>
  <c r="D110" i="1859"/>
  <c r="D102" i="1859"/>
  <c r="D60" i="1859"/>
  <c r="D36" i="1859"/>
  <c r="D236" i="1859"/>
  <c r="D228" i="1859"/>
  <c r="D200" i="1859"/>
  <c r="D165" i="1859"/>
  <c r="D132" i="1859"/>
  <c r="D101" i="1859"/>
  <c r="D18" i="1859"/>
  <c r="D16" i="1859"/>
  <c r="D10" i="1859"/>
  <c r="D5" i="1859"/>
  <c r="D4" i="1859"/>
  <c r="D164" i="1859"/>
  <c r="D119" i="1859"/>
  <c r="D73" i="1859"/>
  <c r="D63" i="1859"/>
  <c r="D35" i="1859"/>
  <c r="D212" i="1859"/>
  <c r="D163" i="1859"/>
  <c r="D154" i="1859"/>
  <c r="D62" i="1859"/>
  <c r="D273" i="1859"/>
  <c r="D258" i="1859"/>
  <c r="D246" i="1859"/>
  <c r="D211" i="1859"/>
  <c r="D196" i="1859"/>
  <c r="D81" i="1859"/>
  <c r="D48" i="1859"/>
  <c r="D23" i="1859"/>
  <c r="D8" i="1859"/>
  <c r="D264" i="1859"/>
  <c r="D252" i="1859"/>
  <c r="D227" i="1859"/>
  <c r="D145" i="1859"/>
  <c r="D131" i="1859"/>
  <c r="D100" i="1859"/>
  <c r="D80" i="1859"/>
  <c r="D26" i="1859"/>
  <c r="D153" i="1859"/>
  <c r="D79" i="1859"/>
  <c r="D47" i="1859"/>
  <c r="D15" i="1859"/>
  <c r="D235" i="1859"/>
  <c r="D162" i="1859"/>
  <c r="D89" i="1859"/>
  <c r="D54" i="1859"/>
  <c r="D22" i="1859"/>
  <c r="D245" i="1859"/>
  <c r="D183" i="1859"/>
  <c r="D130" i="1859"/>
  <c r="D99" i="1859"/>
  <c r="D53" i="1859"/>
  <c r="D25" i="1859"/>
  <c r="D182" i="1859"/>
  <c r="D129" i="1859"/>
  <c r="D98" i="1859"/>
  <c r="D33" i="1859"/>
  <c r="D257" i="1859"/>
  <c r="D195" i="1859"/>
  <c r="D152" i="1859"/>
  <c r="D97" i="1859"/>
  <c r="D88" i="1859"/>
  <c r="D52" i="1859"/>
  <c r="D210" i="1859"/>
  <c r="D144" i="1859"/>
  <c r="D126" i="1859"/>
  <c r="D96" i="1859"/>
  <c r="D194" i="1859"/>
  <c r="D151" i="1859"/>
  <c r="D128" i="1859"/>
  <c r="D95" i="1859"/>
  <c r="D78" i="1859"/>
  <c r="D256" i="1859"/>
  <c r="D244" i="1859"/>
  <c r="D222" i="1859"/>
  <c r="D127" i="1859"/>
  <c r="D243" i="1859"/>
  <c r="D221" i="1859"/>
  <c r="D161" i="1859"/>
  <c r="D94" i="1859"/>
  <c r="D193" i="1859"/>
  <c r="D41" i="1859"/>
  <c r="D9" i="1859"/>
  <c r="D199" i="1859"/>
  <c r="D150" i="1859"/>
  <c r="D93" i="1859"/>
  <c r="D46" i="1859"/>
  <c r="D34" i="1859"/>
  <c r="D12" i="1859"/>
  <c r="D283" i="1859" l="1"/>
  <c r="D282" i="1859"/>
  <c r="D280" i="1859"/>
  <c r="I9" i="1859" s="1"/>
</calcChain>
</file>

<file path=xl/sharedStrings.xml><?xml version="1.0" encoding="utf-8"?>
<sst xmlns="http://schemas.openxmlformats.org/spreadsheetml/2006/main" count="292" uniqueCount="292">
  <si>
    <t>Log#</t>
  </si>
  <si>
    <t>Length</t>
  </si>
  <si>
    <t>Circ</t>
  </si>
  <si>
    <t>Vol G</t>
  </si>
  <si>
    <t>Total</t>
  </si>
  <si>
    <t>Girth</t>
  </si>
  <si>
    <t>CBM</t>
  </si>
  <si>
    <t>Num logs</t>
  </si>
  <si>
    <t>CIRCONFERENCE</t>
  </si>
  <si>
    <t>MAX</t>
  </si>
  <si>
    <t>MIN</t>
  </si>
  <si>
    <t xml:space="preserve">VOL-G = </t>
  </si>
  <si>
    <t>Camion 3201 GS 01</t>
  </si>
  <si>
    <t>266A</t>
  </si>
  <si>
    <t>266B</t>
  </si>
  <si>
    <t>266C</t>
  </si>
  <si>
    <t>267A</t>
  </si>
  <si>
    <t>267B</t>
  </si>
  <si>
    <t>268A</t>
  </si>
  <si>
    <t>268B</t>
  </si>
  <si>
    <t>268C</t>
  </si>
  <si>
    <t>268D</t>
  </si>
  <si>
    <t>269A</t>
  </si>
  <si>
    <t>269B</t>
  </si>
  <si>
    <t>269C</t>
  </si>
  <si>
    <t>270A</t>
  </si>
  <si>
    <t>270B</t>
  </si>
  <si>
    <t>270C</t>
  </si>
  <si>
    <t>271A</t>
  </si>
  <si>
    <t>271B</t>
  </si>
  <si>
    <t>271C</t>
  </si>
  <si>
    <t>271D</t>
  </si>
  <si>
    <t>272A</t>
  </si>
  <si>
    <t>272B</t>
  </si>
  <si>
    <t>272C</t>
  </si>
  <si>
    <t>272D</t>
  </si>
  <si>
    <t>272E</t>
  </si>
  <si>
    <t>273A</t>
  </si>
  <si>
    <t>273B</t>
  </si>
  <si>
    <t>273C</t>
  </si>
  <si>
    <t>273D</t>
  </si>
  <si>
    <t>274A</t>
  </si>
  <si>
    <t>274B</t>
  </si>
  <si>
    <t>274C</t>
  </si>
  <si>
    <t>275A</t>
  </si>
  <si>
    <t>275B</t>
  </si>
  <si>
    <t>275C</t>
  </si>
  <si>
    <t>275D</t>
  </si>
  <si>
    <t>276A</t>
  </si>
  <si>
    <t>276B</t>
  </si>
  <si>
    <t>276C</t>
  </si>
  <si>
    <t>277A</t>
  </si>
  <si>
    <t>277B</t>
  </si>
  <si>
    <t>277C</t>
  </si>
  <si>
    <t>277D</t>
  </si>
  <si>
    <t>278A</t>
  </si>
  <si>
    <t>278B</t>
  </si>
  <si>
    <t>278C</t>
  </si>
  <si>
    <t>278D</t>
  </si>
  <si>
    <t>279A</t>
  </si>
  <si>
    <t>279B</t>
  </si>
  <si>
    <t>279C</t>
  </si>
  <si>
    <t>280A</t>
  </si>
  <si>
    <t>280B</t>
  </si>
  <si>
    <t>280C</t>
  </si>
  <si>
    <t>281A</t>
  </si>
  <si>
    <t>281B</t>
  </si>
  <si>
    <t>281C</t>
  </si>
  <si>
    <t>281D</t>
  </si>
  <si>
    <t>282A</t>
  </si>
  <si>
    <t>282B</t>
  </si>
  <si>
    <t>283A</t>
  </si>
  <si>
    <t>283B</t>
  </si>
  <si>
    <t>283C</t>
  </si>
  <si>
    <t>283D</t>
  </si>
  <si>
    <t>284A</t>
  </si>
  <si>
    <t>284B</t>
  </si>
  <si>
    <t>284C</t>
  </si>
  <si>
    <t>284D</t>
  </si>
  <si>
    <t>285A</t>
  </si>
  <si>
    <t>285B</t>
  </si>
  <si>
    <t>285C</t>
  </si>
  <si>
    <t>285D</t>
  </si>
  <si>
    <t>285E</t>
  </si>
  <si>
    <t>286A</t>
  </si>
  <si>
    <t>286B</t>
  </si>
  <si>
    <t>286C</t>
  </si>
  <si>
    <t>286D</t>
  </si>
  <si>
    <t>287A</t>
  </si>
  <si>
    <t>287B</t>
  </si>
  <si>
    <t>288A</t>
  </si>
  <si>
    <t>288B</t>
  </si>
  <si>
    <t>288C</t>
  </si>
  <si>
    <t>288D</t>
  </si>
  <si>
    <t>289A</t>
  </si>
  <si>
    <t>289B</t>
  </si>
  <si>
    <t>289C</t>
  </si>
  <si>
    <t>289D</t>
  </si>
  <si>
    <t>290A</t>
  </si>
  <si>
    <t>290B</t>
  </si>
  <si>
    <t>290C</t>
  </si>
  <si>
    <t>291A</t>
  </si>
  <si>
    <t>291B</t>
  </si>
  <si>
    <t>291C</t>
  </si>
  <si>
    <t>292A</t>
  </si>
  <si>
    <t>292B</t>
  </si>
  <si>
    <t>292C</t>
  </si>
  <si>
    <t>292D</t>
  </si>
  <si>
    <t>293A</t>
  </si>
  <si>
    <t>293B</t>
  </si>
  <si>
    <t>293C</t>
  </si>
  <si>
    <t>293D</t>
  </si>
  <si>
    <t>294A</t>
  </si>
  <si>
    <t>294B</t>
  </si>
  <si>
    <t>294C</t>
  </si>
  <si>
    <t>294D</t>
  </si>
  <si>
    <t>295A</t>
  </si>
  <si>
    <t>295B</t>
  </si>
  <si>
    <t>295C</t>
  </si>
  <si>
    <t>296A</t>
  </si>
  <si>
    <t>296B</t>
  </si>
  <si>
    <t>296C</t>
  </si>
  <si>
    <t>297A</t>
  </si>
  <si>
    <t>297B</t>
  </si>
  <si>
    <t>297C</t>
  </si>
  <si>
    <t>298A</t>
  </si>
  <si>
    <t>298B</t>
  </si>
  <si>
    <t>298C</t>
  </si>
  <si>
    <t>299A</t>
  </si>
  <si>
    <t>299B</t>
  </si>
  <si>
    <t>299C</t>
  </si>
  <si>
    <t>300A</t>
  </si>
  <si>
    <t>300B</t>
  </si>
  <si>
    <t>300C</t>
  </si>
  <si>
    <t>301A</t>
  </si>
  <si>
    <t>301B</t>
  </si>
  <si>
    <t>302A</t>
  </si>
  <si>
    <t>302B</t>
  </si>
  <si>
    <t>302C</t>
  </si>
  <si>
    <t>303A</t>
  </si>
  <si>
    <t>303B</t>
  </si>
  <si>
    <t>303C</t>
  </si>
  <si>
    <t>303D</t>
  </si>
  <si>
    <t>304A</t>
  </si>
  <si>
    <t>304B</t>
  </si>
  <si>
    <t>304C</t>
  </si>
  <si>
    <t>304D</t>
  </si>
  <si>
    <t>305A</t>
  </si>
  <si>
    <t>305B</t>
  </si>
  <si>
    <t>305C</t>
  </si>
  <si>
    <t>306A</t>
  </si>
  <si>
    <t>306B</t>
  </si>
  <si>
    <t>306C</t>
  </si>
  <si>
    <t>307A</t>
  </si>
  <si>
    <t>307B</t>
  </si>
  <si>
    <t>308A</t>
  </si>
  <si>
    <t>308B</t>
  </si>
  <si>
    <t>308C</t>
  </si>
  <si>
    <t>308D</t>
  </si>
  <si>
    <t>309A</t>
  </si>
  <si>
    <t>309B</t>
  </si>
  <si>
    <t>309C</t>
  </si>
  <si>
    <t>310A</t>
  </si>
  <si>
    <t>310B</t>
  </si>
  <si>
    <t>310C</t>
  </si>
  <si>
    <t>310D</t>
  </si>
  <si>
    <t>311A</t>
  </si>
  <si>
    <t>311B</t>
  </si>
  <si>
    <t>311C</t>
  </si>
  <si>
    <t>311D</t>
  </si>
  <si>
    <t>312A</t>
  </si>
  <si>
    <t>312B</t>
  </si>
  <si>
    <t>312C</t>
  </si>
  <si>
    <t>312D</t>
  </si>
  <si>
    <t>313A</t>
  </si>
  <si>
    <t>313B</t>
  </si>
  <si>
    <t>313C</t>
  </si>
  <si>
    <t>313D</t>
  </si>
  <si>
    <t>314A</t>
  </si>
  <si>
    <t>314B</t>
  </si>
  <si>
    <t>314C</t>
  </si>
  <si>
    <t>315A</t>
  </si>
  <si>
    <t>315B</t>
  </si>
  <si>
    <t>315C</t>
  </si>
  <si>
    <t>316A</t>
  </si>
  <si>
    <t>316B</t>
  </si>
  <si>
    <t>316C</t>
  </si>
  <si>
    <t>317A</t>
  </si>
  <si>
    <t>317B</t>
  </si>
  <si>
    <t>317C</t>
  </si>
  <si>
    <t>317D</t>
  </si>
  <si>
    <t>318A</t>
  </si>
  <si>
    <t>318B</t>
  </si>
  <si>
    <t>318C</t>
  </si>
  <si>
    <t>318D</t>
  </si>
  <si>
    <t>319A</t>
  </si>
  <si>
    <t>319B</t>
  </si>
  <si>
    <t>319C</t>
  </si>
  <si>
    <t>320A</t>
  </si>
  <si>
    <t>320B</t>
  </si>
  <si>
    <t>320C</t>
  </si>
  <si>
    <t>321A</t>
  </si>
  <si>
    <t>321B</t>
  </si>
  <si>
    <t>321C</t>
  </si>
  <si>
    <t>322A</t>
  </si>
  <si>
    <t>322B</t>
  </si>
  <si>
    <t>322C</t>
  </si>
  <si>
    <t>323A</t>
  </si>
  <si>
    <t>323B</t>
  </si>
  <si>
    <t>323C</t>
  </si>
  <si>
    <t>324A</t>
  </si>
  <si>
    <t>324B</t>
  </si>
  <si>
    <t>324C</t>
  </si>
  <si>
    <t>325A</t>
  </si>
  <si>
    <t>325B</t>
  </si>
  <si>
    <t>325C</t>
  </si>
  <si>
    <t>325D</t>
  </si>
  <si>
    <t>316D</t>
  </si>
  <si>
    <t>295D</t>
  </si>
  <si>
    <t>322D</t>
  </si>
  <si>
    <t>282C</t>
  </si>
  <si>
    <t>267C</t>
  </si>
  <si>
    <t>287C</t>
  </si>
  <si>
    <t>301C</t>
  </si>
  <si>
    <t>275E</t>
  </si>
  <si>
    <t>270D</t>
  </si>
  <si>
    <t>269D</t>
  </si>
  <si>
    <t>274D</t>
  </si>
  <si>
    <t>276D</t>
  </si>
  <si>
    <t>280D</t>
  </si>
  <si>
    <t>282D</t>
  </si>
  <si>
    <t>284E</t>
  </si>
  <si>
    <t>287D</t>
  </si>
  <si>
    <t>291D</t>
  </si>
  <si>
    <t>292E</t>
  </si>
  <si>
    <t>296D</t>
  </si>
  <si>
    <t>297D</t>
  </si>
  <si>
    <t>298D</t>
  </si>
  <si>
    <t>299D</t>
  </si>
  <si>
    <t>301D</t>
  </si>
  <si>
    <t>306D</t>
  </si>
  <si>
    <t>307C</t>
  </si>
  <si>
    <t>310E</t>
  </si>
  <si>
    <t>310F</t>
  </si>
  <si>
    <t>319D</t>
  </si>
  <si>
    <t>320D</t>
  </si>
  <si>
    <t>323D</t>
  </si>
  <si>
    <t>323E</t>
  </si>
  <si>
    <t>324D</t>
  </si>
  <si>
    <t>324E</t>
  </si>
  <si>
    <t>266D</t>
  </si>
  <si>
    <t>274E</t>
  </si>
  <si>
    <t>279D</t>
  </si>
  <si>
    <t>280E</t>
  </si>
  <si>
    <t>283E</t>
  </si>
  <si>
    <t>286E</t>
  </si>
  <si>
    <t>286F</t>
  </si>
  <si>
    <t>291E</t>
  </si>
  <si>
    <t>295E</t>
  </si>
  <si>
    <t>301E</t>
  </si>
  <si>
    <t>302D</t>
  </si>
  <si>
    <t>302E</t>
  </si>
  <si>
    <t>307D</t>
  </si>
  <si>
    <t>307E</t>
  </si>
  <si>
    <t>314D</t>
  </si>
  <si>
    <t>317E</t>
  </si>
  <si>
    <t>320E</t>
  </si>
  <si>
    <t>320F</t>
  </si>
  <si>
    <t>321D</t>
  </si>
  <si>
    <t>323F</t>
  </si>
  <si>
    <t>266E</t>
  </si>
  <si>
    <t>272F</t>
  </si>
  <si>
    <t>282E</t>
  </si>
  <si>
    <t>319E</t>
  </si>
  <si>
    <t>287E</t>
  </si>
  <si>
    <t>288E</t>
  </si>
  <si>
    <t>284F</t>
  </si>
  <si>
    <t>301F</t>
  </si>
  <si>
    <t>303E</t>
  </si>
  <si>
    <t>304E</t>
  </si>
  <si>
    <t>270E</t>
  </si>
  <si>
    <t>317F</t>
  </si>
  <si>
    <t>288F</t>
  </si>
  <si>
    <t>292F</t>
  </si>
  <si>
    <t>266F</t>
  </si>
  <si>
    <t>274F</t>
  </si>
  <si>
    <r>
      <t>CBM = 33,171 m</t>
    </r>
    <r>
      <rPr>
        <b/>
        <sz val="15"/>
        <color indexed="8"/>
        <rFont val="High Tower Text"/>
        <family val="1"/>
      </rPr>
      <t>³</t>
    </r>
  </si>
  <si>
    <t>BL 176530</t>
  </si>
  <si>
    <t>301G</t>
  </si>
  <si>
    <t>302F</t>
  </si>
  <si>
    <t>VOL-G &lt; 85 = 11,162 m3</t>
  </si>
  <si>
    <t>VOL-G  ≥85 = 17,703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</si>
</sst>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2"/>
      <color indexed="8"/>
      <name val="Verdana"/>
    </font>
    <font>
      <sz val="15"/>
      <color indexed="8"/>
      <name val="Helvetica"/>
    </font>
    <font>
      <b/>
      <sz val="18"/>
      <color indexed="9"/>
      <name val="Helvetica Neue"/>
    </font>
    <font>
      <b/>
      <sz val="14"/>
      <color indexed="10"/>
      <name val="Helvetica"/>
    </font>
    <font>
      <b/>
      <sz val="15"/>
      <color indexed="10"/>
      <name val="Helvetica"/>
    </font>
    <font>
      <sz val="12"/>
      <color indexed="8"/>
      <name val="Arial Black"/>
      <family val="2"/>
    </font>
    <font>
      <sz val="12"/>
      <color indexed="8"/>
      <name val="Elephant"/>
      <family val="1"/>
    </font>
    <font>
      <b/>
      <sz val="18"/>
      <color indexed="9"/>
      <name val="Algerian"/>
      <family val="5"/>
    </font>
    <font>
      <b/>
      <sz val="14"/>
      <name val="Helvetica"/>
    </font>
    <font>
      <b/>
      <sz val="15"/>
      <color indexed="8"/>
      <name val="Helvetica"/>
    </font>
    <font>
      <b/>
      <sz val="15"/>
      <color indexed="8"/>
      <name val="High Tower Text"/>
      <family val="1"/>
    </font>
    <font>
      <b/>
      <sz val="14"/>
      <color theme="3"/>
      <name val="Arial Black"/>
      <family val="2"/>
    </font>
    <font>
      <b/>
      <sz val="18"/>
      <color theme="3"/>
      <name val="Helvetic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1"/>
        <bgColor indexed="64"/>
      </patternFill>
    </fill>
    <fill>
      <patternFill patternType="solid">
        <fgColor indexed="10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/>
    </xf>
    <xf numFmtId="0" fontId="12" fillId="0" borderId="0" applyNumberFormat="0" applyFill="0" applyBorder="0" applyAlignment="0" applyProtection="0"/>
  </cellStyleXfs>
  <cellXfs count="20">
    <xf numFmtId="0" fontId="0" fillId="0" borderId="0" xfId="0">
      <alignment vertical="top"/>
    </xf>
    <xf numFmtId="0" fontId="1" fillId="0" borderId="0" xfId="0" applyNumberFormat="1" applyFont="1">
      <alignment vertical="top"/>
    </xf>
    <xf numFmtId="0" fontId="3" fillId="2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3" fillId="2" borderId="4" xfId="0" applyNumberFormat="1" applyFont="1" applyFill="1" applyBorder="1" applyAlignment="1">
      <alignment vertical="top" wrapText="1"/>
    </xf>
    <xf numFmtId="0" fontId="8" fillId="2" borderId="2" xfId="0" applyNumberFormat="1" applyFont="1" applyFill="1" applyBorder="1" applyAlignment="1">
      <alignment vertical="top" wrapText="1"/>
    </xf>
    <xf numFmtId="0" fontId="0" fillId="0" borderId="2" xfId="0" applyBorder="1" applyAlignment="1"/>
    <xf numFmtId="0" fontId="9" fillId="0" borderId="0" xfId="0" applyNumberFormat="1" applyFont="1">
      <alignment vertical="top"/>
    </xf>
    <xf numFmtId="0" fontId="11" fillId="4" borderId="0" xfId="0" applyNumberFormat="1" applyFont="1" applyFill="1">
      <alignment vertical="top"/>
    </xf>
    <xf numFmtId="49" fontId="9" fillId="0" borderId="0" xfId="0" applyNumberFormat="1" applyFont="1" applyAlignment="1">
      <alignment horizontal="right" vertical="top"/>
    </xf>
    <xf numFmtId="0" fontId="1" fillId="5" borderId="1" xfId="0" applyNumberFormat="1" applyFont="1" applyFill="1" applyBorder="1">
      <alignment vertical="top"/>
    </xf>
    <xf numFmtId="0" fontId="5" fillId="0" borderId="3" xfId="0" applyFont="1" applyBorder="1" applyAlignment="1">
      <alignment horizontal="center" vertical="top"/>
    </xf>
    <xf numFmtId="164" fontId="9" fillId="0" borderId="0" xfId="0" applyNumberFormat="1" applyFont="1">
      <alignment vertical="top"/>
    </xf>
    <xf numFmtId="20" fontId="9" fillId="0" borderId="0" xfId="0" applyNumberFormat="1" applyFont="1">
      <alignment vertical="top"/>
    </xf>
    <xf numFmtId="0" fontId="7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</cellXfs>
  <cellStyles count="2">
    <cellStyle name="Normal" xfId="0" builtinId="0"/>
    <cellStyle name="Titre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C6C6C"/>
      <rgbColor rgb="FFFEFFFE"/>
      <rgbColor rgb="FFFF992D"/>
      <rgbColor rgb="FFB1B1B1"/>
      <rgbColor rgb="FFFF0F1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FFFFFF"/>
      </a:dk1>
      <a:lt1>
        <a:srgbClr val="668E52"/>
      </a:lt1>
      <a:dk2>
        <a:srgbClr val="313131"/>
      </a:dk2>
      <a:lt2>
        <a:srgbClr val="B2B2B2"/>
      </a:lt2>
      <a:accent1>
        <a:srgbClr val="570D72"/>
      </a:accent1>
      <a:accent2>
        <a:srgbClr val="228FD7"/>
      </a:accent2>
      <a:accent3>
        <a:srgbClr val="5EB82B"/>
      </a:accent3>
      <a:accent4>
        <a:srgbClr val="FF0F1B"/>
      </a:accent4>
      <a:accent5>
        <a:srgbClr val="FF992E"/>
      </a:accent5>
      <a:accent6>
        <a:srgbClr val="EDC926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63500" dir="5400000" rotWithShape="0">
              <a:srgbClr val="000000">
                <a:alpha val="45000"/>
              </a:srgbClr>
            </a:outerShdw>
          </a:effectLst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68A22F"/>
        </a:solidFill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1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400" b="0" i="0" u="none" strike="noStrike" cap="none" spc="0" normalizeH="0" baseline="0">
            <a:ln>
              <a:noFill/>
            </a:ln>
            <a:solidFill>
              <a:srgbClr val="37484C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ECC5-7450-4229-A3E2-AA575A81F117}">
  <sheetPr>
    <pageSetUpPr fitToPage="1"/>
  </sheetPr>
  <dimension ref="A1:IT283"/>
  <sheetViews>
    <sheetView showGridLines="0" tabSelected="1" zoomScale="80" zoomScaleNormal="80" workbookViewId="0">
      <pane xSplit="1" ySplit="3" topLeftCell="B4" activePane="bottomRight" state="frozenSplit"/>
      <selection pane="topRight"/>
      <selection pane="bottomLeft"/>
      <selection pane="bottomRight" activeCell="H20" sqref="H20"/>
    </sheetView>
  </sheetViews>
  <sheetFormatPr baseColWidth="10" defaultColWidth="9.5" defaultRowHeight="26.1" customHeight="1"/>
  <cols>
    <col min="1" max="254" width="9.5" style="1" customWidth="1"/>
  </cols>
  <sheetData>
    <row r="1" spans="1:254" ht="26.25" thickBot="1">
      <c r="A1" s="16" t="s">
        <v>12</v>
      </c>
      <c r="B1" s="16"/>
      <c r="C1" s="16"/>
      <c r="D1" s="16"/>
      <c r="E1" s="16"/>
    </row>
    <row r="2" spans="1:254" ht="24" thickBot="1">
      <c r="A2" s="5"/>
      <c r="B2" s="17" t="s">
        <v>8</v>
      </c>
      <c r="C2" s="18"/>
      <c r="D2" s="19"/>
      <c r="E2" s="13"/>
    </row>
    <row r="3" spans="1:254" ht="26.1" customHeight="1">
      <c r="A3" s="2" t="s">
        <v>0</v>
      </c>
      <c r="B3" s="6" t="s">
        <v>1</v>
      </c>
      <c r="C3" s="6" t="s">
        <v>2</v>
      </c>
      <c r="D3" s="6" t="s">
        <v>3</v>
      </c>
      <c r="E3" s="7" t="s">
        <v>7</v>
      </c>
    </row>
    <row r="4" spans="1:254" ht="27" customHeight="1">
      <c r="A4" s="3">
        <v>1</v>
      </c>
      <c r="B4" s="12">
        <v>1.2</v>
      </c>
      <c r="C4" s="12">
        <v>148</v>
      </c>
      <c r="D4" s="12">
        <f t="shared" ref="D4:D67" si="0">B4*C4*C4/160000</f>
        <v>0.16427999999999998</v>
      </c>
      <c r="E4" s="9" t="s">
        <v>71</v>
      </c>
      <c r="IT4"/>
    </row>
    <row r="5" spans="1:254" ht="27" customHeight="1">
      <c r="A5" s="3">
        <v>2</v>
      </c>
      <c r="B5" s="12">
        <v>2.6</v>
      </c>
      <c r="C5" s="12">
        <v>138</v>
      </c>
      <c r="D5" s="12">
        <f t="shared" si="0"/>
        <v>0.30946499999999999</v>
      </c>
      <c r="E5" s="9" t="s">
        <v>72</v>
      </c>
      <c r="H5" s="9" t="s">
        <v>286</v>
      </c>
      <c r="I5" s="9"/>
      <c r="IT5"/>
    </row>
    <row r="6" spans="1:254" ht="27" customHeight="1">
      <c r="A6" s="3">
        <v>3</v>
      </c>
      <c r="B6" s="12">
        <v>2.2000000000000002</v>
      </c>
      <c r="C6" s="12">
        <v>132</v>
      </c>
      <c r="D6" s="12">
        <f t="shared" si="0"/>
        <v>0.23958000000000002</v>
      </c>
      <c r="E6" s="9" t="s">
        <v>122</v>
      </c>
      <c r="H6" s="10" t="s">
        <v>287</v>
      </c>
      <c r="I6" s="9"/>
      <c r="IT6"/>
    </row>
    <row r="7" spans="1:254" ht="27" customHeight="1">
      <c r="A7" s="3">
        <v>4</v>
      </c>
      <c r="B7" s="12">
        <v>2.2000000000000002</v>
      </c>
      <c r="C7" s="12">
        <v>130</v>
      </c>
      <c r="D7" s="12">
        <f t="shared" si="0"/>
        <v>0.232375</v>
      </c>
      <c r="E7" s="9" t="s">
        <v>143</v>
      </c>
      <c r="H7" s="9"/>
      <c r="I7" s="9"/>
      <c r="IT7"/>
    </row>
    <row r="8" spans="1:254" ht="27" customHeight="1">
      <c r="A8" s="3">
        <v>5</v>
      </c>
      <c r="B8" s="12">
        <v>2.4500000000000002</v>
      </c>
      <c r="C8" s="12">
        <v>128</v>
      </c>
      <c r="D8" s="12">
        <f t="shared" si="0"/>
        <v>0.25087999999999999</v>
      </c>
      <c r="E8" s="9" t="s">
        <v>59</v>
      </c>
      <c r="H8" s="9"/>
      <c r="I8" s="9"/>
      <c r="J8" s="9"/>
      <c r="K8" s="11"/>
      <c r="IT8"/>
    </row>
    <row r="9" spans="1:254" ht="27" customHeight="1">
      <c r="A9" s="3">
        <v>6</v>
      </c>
      <c r="B9" s="12">
        <v>2.2000000000000002</v>
      </c>
      <c r="C9" s="12">
        <v>124</v>
      </c>
      <c r="D9" s="12">
        <f t="shared" si="0"/>
        <v>0.21142000000000002</v>
      </c>
      <c r="E9" s="9" t="s">
        <v>16</v>
      </c>
      <c r="H9" s="9" t="s">
        <v>11</v>
      </c>
      <c r="I9" s="14">
        <f>D280</f>
        <v>28.865049062500042</v>
      </c>
      <c r="IT9"/>
    </row>
    <row r="10" spans="1:254" ht="27" customHeight="1">
      <c r="A10" s="3">
        <v>7</v>
      </c>
      <c r="B10" s="12">
        <v>2.2000000000000002</v>
      </c>
      <c r="C10" s="12">
        <v>124</v>
      </c>
      <c r="D10" s="12">
        <f t="shared" si="0"/>
        <v>0.21142000000000002</v>
      </c>
      <c r="E10" s="9" t="s">
        <v>73</v>
      </c>
      <c r="H10" s="9"/>
      <c r="IT10"/>
    </row>
    <row r="11" spans="1:254" ht="27" customHeight="1">
      <c r="A11" s="3">
        <v>8</v>
      </c>
      <c r="B11" s="12">
        <v>1.2</v>
      </c>
      <c r="C11" s="12">
        <v>124</v>
      </c>
      <c r="D11" s="12">
        <f t="shared" si="0"/>
        <v>0.11531999999999998</v>
      </c>
      <c r="E11" s="9" t="s">
        <v>128</v>
      </c>
      <c r="H11" s="9"/>
      <c r="IT11"/>
    </row>
    <row r="12" spans="1:254" ht="27" customHeight="1">
      <c r="A12" s="3">
        <v>9</v>
      </c>
      <c r="B12" s="12">
        <v>2.2000000000000002</v>
      </c>
      <c r="C12" s="12">
        <v>123</v>
      </c>
      <c r="D12" s="12">
        <f t="shared" si="0"/>
        <v>0.20802375000000001</v>
      </c>
      <c r="E12" s="15" t="s">
        <v>13</v>
      </c>
      <c r="H12" s="9"/>
      <c r="I12" s="9"/>
      <c r="IT12"/>
    </row>
    <row r="13" spans="1:254" ht="27" customHeight="1">
      <c r="A13" s="3">
        <v>10</v>
      </c>
      <c r="B13" s="12">
        <v>2.2000000000000002</v>
      </c>
      <c r="C13" s="12">
        <v>120</v>
      </c>
      <c r="D13" s="12">
        <f t="shared" si="0"/>
        <v>0.19800000000000001</v>
      </c>
      <c r="E13" s="9" t="s">
        <v>104</v>
      </c>
      <c r="IT13"/>
    </row>
    <row r="14" spans="1:254" ht="27" customHeight="1">
      <c r="A14" s="3">
        <v>11</v>
      </c>
      <c r="B14" s="12">
        <v>2.6</v>
      </c>
      <c r="C14" s="12">
        <v>120</v>
      </c>
      <c r="D14" s="12">
        <f t="shared" si="0"/>
        <v>0.23400000000000001</v>
      </c>
      <c r="E14" s="9" t="s">
        <v>210</v>
      </c>
      <c r="H14" s="9"/>
      <c r="IT14"/>
    </row>
    <row r="15" spans="1:254" ht="27" customHeight="1">
      <c r="A15" s="3">
        <v>12</v>
      </c>
      <c r="B15" s="12">
        <v>2.75</v>
      </c>
      <c r="C15" s="12">
        <v>116</v>
      </c>
      <c r="D15" s="12">
        <f t="shared" si="0"/>
        <v>0.23127500000000001</v>
      </c>
      <c r="E15" s="9" t="s">
        <v>48</v>
      </c>
      <c r="H15" s="9" t="s">
        <v>291</v>
      </c>
      <c r="IT15"/>
    </row>
    <row r="16" spans="1:254" ht="27" customHeight="1">
      <c r="A16" s="3">
        <v>13</v>
      </c>
      <c r="B16" s="12">
        <v>2.75</v>
      </c>
      <c r="C16" s="12">
        <v>116</v>
      </c>
      <c r="D16" s="12">
        <f t="shared" si="0"/>
        <v>0.23127500000000001</v>
      </c>
      <c r="E16" s="9" t="s">
        <v>74</v>
      </c>
      <c r="H16" s="9"/>
      <c r="IT16"/>
    </row>
    <row r="17" spans="1:254" ht="27" customHeight="1">
      <c r="A17" s="3">
        <v>14</v>
      </c>
      <c r="B17" s="12">
        <v>2.2000000000000002</v>
      </c>
      <c r="C17" s="12">
        <v>116</v>
      </c>
      <c r="D17" s="12">
        <f t="shared" si="0"/>
        <v>0.18502000000000002</v>
      </c>
      <c r="E17" s="9" t="s">
        <v>187</v>
      </c>
      <c r="IT17"/>
    </row>
    <row r="18" spans="1:254" ht="27" customHeight="1">
      <c r="A18" s="3">
        <v>15</v>
      </c>
      <c r="B18" s="12">
        <v>2.4500000000000002</v>
      </c>
      <c r="C18" s="12">
        <v>114</v>
      </c>
      <c r="D18" s="12">
        <f t="shared" si="0"/>
        <v>0.19900125000000002</v>
      </c>
      <c r="E18" s="9" t="s">
        <v>254</v>
      </c>
      <c r="IT18"/>
    </row>
    <row r="19" spans="1:254" ht="27" customHeight="1">
      <c r="A19" s="3">
        <v>16</v>
      </c>
      <c r="B19" s="12">
        <v>2.2000000000000002</v>
      </c>
      <c r="C19" s="12">
        <v>114</v>
      </c>
      <c r="D19" s="12">
        <f t="shared" si="0"/>
        <v>0.17869499999999999</v>
      </c>
      <c r="E19" s="9" t="s">
        <v>123</v>
      </c>
      <c r="H19" s="9" t="s">
        <v>290</v>
      </c>
      <c r="IT19"/>
    </row>
    <row r="20" spans="1:254" ht="27" customHeight="1">
      <c r="A20" s="3">
        <v>17</v>
      </c>
      <c r="B20" s="12">
        <v>1.2</v>
      </c>
      <c r="C20" s="12">
        <v>114</v>
      </c>
      <c r="D20" s="12">
        <f t="shared" si="0"/>
        <v>9.7469999999999987E-2</v>
      </c>
      <c r="E20" s="9" t="s">
        <v>136</v>
      </c>
      <c r="IT20"/>
    </row>
    <row r="21" spans="1:254" ht="27" customHeight="1">
      <c r="A21" s="3">
        <v>18</v>
      </c>
      <c r="B21" s="12">
        <v>2.2000000000000002</v>
      </c>
      <c r="C21" s="12">
        <v>114</v>
      </c>
      <c r="D21" s="12">
        <f t="shared" si="0"/>
        <v>0.17869499999999999</v>
      </c>
      <c r="E21" s="9" t="s">
        <v>144</v>
      </c>
      <c r="IT21"/>
    </row>
    <row r="22" spans="1:254" ht="27" customHeight="1">
      <c r="A22" s="3">
        <v>19</v>
      </c>
      <c r="B22" s="12">
        <v>2.75</v>
      </c>
      <c r="C22" s="12">
        <v>112</v>
      </c>
      <c r="D22" s="12">
        <f t="shared" si="0"/>
        <v>0.21560000000000001</v>
      </c>
      <c r="E22" s="9" t="s">
        <v>44</v>
      </c>
      <c r="IT22"/>
    </row>
    <row r="23" spans="1:254" ht="27" customHeight="1">
      <c r="A23" s="3">
        <v>20</v>
      </c>
      <c r="B23" s="12">
        <v>2.75</v>
      </c>
      <c r="C23" s="12">
        <v>112</v>
      </c>
      <c r="D23" s="12">
        <f t="shared" si="0"/>
        <v>0.21560000000000001</v>
      </c>
      <c r="E23" s="9" t="s">
        <v>60</v>
      </c>
      <c r="IT23"/>
    </row>
    <row r="24" spans="1:254" ht="27" customHeight="1">
      <c r="A24" s="3">
        <v>21</v>
      </c>
      <c r="B24" s="12">
        <v>2.2000000000000002</v>
      </c>
      <c r="C24" s="12">
        <v>112</v>
      </c>
      <c r="D24" s="12">
        <f t="shared" si="0"/>
        <v>0.17248000000000002</v>
      </c>
      <c r="E24" s="9" t="s">
        <v>145</v>
      </c>
      <c r="IT24"/>
    </row>
    <row r="25" spans="1:254" ht="27" customHeight="1">
      <c r="A25" s="3">
        <v>22</v>
      </c>
      <c r="B25" s="12">
        <v>2.75</v>
      </c>
      <c r="C25" s="12">
        <v>110</v>
      </c>
      <c r="D25" s="12">
        <f t="shared" si="0"/>
        <v>0.20796875000000001</v>
      </c>
      <c r="E25" s="9" t="s">
        <v>41</v>
      </c>
      <c r="IT25"/>
    </row>
    <row r="26" spans="1:254" ht="27" customHeight="1">
      <c r="A26" s="3">
        <v>23</v>
      </c>
      <c r="B26" s="12">
        <v>2.2000000000000002</v>
      </c>
      <c r="C26" s="12">
        <v>110</v>
      </c>
      <c r="D26" s="12">
        <f t="shared" si="0"/>
        <v>0.16637500000000002</v>
      </c>
      <c r="E26" s="9" t="s">
        <v>51</v>
      </c>
      <c r="IT26"/>
    </row>
    <row r="27" spans="1:254" ht="27" customHeight="1">
      <c r="A27" s="3">
        <v>24</v>
      </c>
      <c r="B27" s="12">
        <v>2.75</v>
      </c>
      <c r="C27" s="12">
        <v>110</v>
      </c>
      <c r="D27" s="12">
        <f t="shared" si="0"/>
        <v>0.20796875000000001</v>
      </c>
      <c r="E27" s="9" t="s">
        <v>94</v>
      </c>
      <c r="IT27"/>
    </row>
    <row r="28" spans="1:254" ht="27" customHeight="1">
      <c r="A28" s="3">
        <v>25</v>
      </c>
      <c r="B28" s="12">
        <v>2.4500000000000002</v>
      </c>
      <c r="C28" s="12">
        <v>110</v>
      </c>
      <c r="D28" s="12">
        <f t="shared" si="0"/>
        <v>0.18528125000000001</v>
      </c>
      <c r="E28" s="9" t="s">
        <v>105</v>
      </c>
      <c r="IT28"/>
    </row>
    <row r="29" spans="1:254" ht="27" customHeight="1">
      <c r="A29" s="3">
        <v>26</v>
      </c>
      <c r="B29" s="12">
        <v>2.2000000000000002</v>
      </c>
      <c r="C29" s="12">
        <v>110</v>
      </c>
      <c r="D29" s="12">
        <f t="shared" si="0"/>
        <v>0.16637500000000002</v>
      </c>
      <c r="E29" s="9" t="s">
        <v>124</v>
      </c>
      <c r="IT29"/>
    </row>
    <row r="30" spans="1:254" ht="27" customHeight="1">
      <c r="A30" s="3">
        <v>27</v>
      </c>
      <c r="B30" s="12">
        <v>2.4500000000000002</v>
      </c>
      <c r="C30" s="12">
        <v>110</v>
      </c>
      <c r="D30" s="12">
        <f t="shared" si="0"/>
        <v>0.18528125000000001</v>
      </c>
      <c r="E30" s="9" t="s">
        <v>146</v>
      </c>
      <c r="IT30"/>
    </row>
    <row r="31" spans="1:254" ht="27" customHeight="1">
      <c r="A31" s="3">
        <v>28</v>
      </c>
      <c r="B31" s="12">
        <v>1.2</v>
      </c>
      <c r="C31" s="12">
        <v>108</v>
      </c>
      <c r="D31" s="12">
        <f t="shared" si="0"/>
        <v>8.7480000000000002E-2</v>
      </c>
      <c r="E31" s="9" t="s">
        <v>106</v>
      </c>
      <c r="IT31"/>
    </row>
    <row r="32" spans="1:254" ht="27" customHeight="1">
      <c r="A32" s="3">
        <v>29</v>
      </c>
      <c r="B32" s="12">
        <v>2.4500000000000002</v>
      </c>
      <c r="C32" s="12">
        <v>108</v>
      </c>
      <c r="D32" s="12">
        <f t="shared" si="0"/>
        <v>0.17860500000000001</v>
      </c>
      <c r="E32" s="9" t="s">
        <v>137</v>
      </c>
      <c r="IT32"/>
    </row>
    <row r="33" spans="1:254" ht="27" customHeight="1">
      <c r="A33" s="3">
        <v>30</v>
      </c>
      <c r="B33" s="12">
        <v>2.75</v>
      </c>
      <c r="C33" s="12">
        <v>107</v>
      </c>
      <c r="D33" s="12">
        <f t="shared" si="0"/>
        <v>0.19677968749999999</v>
      </c>
      <c r="E33" s="9" t="s">
        <v>37</v>
      </c>
      <c r="IT33"/>
    </row>
    <row r="34" spans="1:254" ht="27" customHeight="1">
      <c r="A34" s="3">
        <v>31</v>
      </c>
      <c r="B34" s="12">
        <v>2.4500000000000002</v>
      </c>
      <c r="C34" s="12">
        <v>106</v>
      </c>
      <c r="D34" s="12">
        <f t="shared" si="0"/>
        <v>0.17205125000000002</v>
      </c>
      <c r="E34" s="9" t="s">
        <v>14</v>
      </c>
      <c r="IT34"/>
    </row>
    <row r="35" spans="1:254" ht="27" customHeight="1">
      <c r="A35" s="3">
        <v>32</v>
      </c>
      <c r="B35" s="12">
        <v>2.4500000000000002</v>
      </c>
      <c r="C35" s="12">
        <v>106</v>
      </c>
      <c r="D35" s="12">
        <f t="shared" si="0"/>
        <v>0.17205125000000002</v>
      </c>
      <c r="E35" s="9" t="s">
        <v>69</v>
      </c>
      <c r="IT35"/>
    </row>
    <row r="36" spans="1:254" ht="27" customHeight="1">
      <c r="A36" s="3">
        <v>33</v>
      </c>
      <c r="B36" s="12">
        <v>2.4500000000000002</v>
      </c>
      <c r="C36" s="12">
        <v>106</v>
      </c>
      <c r="D36" s="12">
        <f t="shared" si="0"/>
        <v>0.17205125000000002</v>
      </c>
      <c r="E36" s="9" t="s">
        <v>79</v>
      </c>
      <c r="IT36"/>
    </row>
    <row r="37" spans="1:254" ht="27" customHeight="1">
      <c r="A37" s="3">
        <v>34</v>
      </c>
      <c r="B37" s="12">
        <v>2.4500000000000002</v>
      </c>
      <c r="C37" s="12">
        <v>106</v>
      </c>
      <c r="D37" s="12">
        <f t="shared" si="0"/>
        <v>0.17205125000000002</v>
      </c>
      <c r="E37" s="9" t="s">
        <v>174</v>
      </c>
      <c r="IT37"/>
    </row>
    <row r="38" spans="1:254" ht="27" customHeight="1">
      <c r="A38" s="3">
        <v>35</v>
      </c>
      <c r="B38" s="12">
        <v>2.4500000000000002</v>
      </c>
      <c r="C38" s="12">
        <v>106</v>
      </c>
      <c r="D38" s="12">
        <f t="shared" si="0"/>
        <v>0.17205125000000002</v>
      </c>
      <c r="E38" s="9" t="s">
        <v>191</v>
      </c>
      <c r="IT38"/>
    </row>
    <row r="39" spans="1:254" ht="27" customHeight="1">
      <c r="A39" s="3">
        <v>36</v>
      </c>
      <c r="B39" s="12">
        <v>2.6</v>
      </c>
      <c r="C39" s="12">
        <v>106</v>
      </c>
      <c r="D39" s="12">
        <f t="shared" si="0"/>
        <v>0.18258500000000003</v>
      </c>
      <c r="E39" s="9" t="s">
        <v>207</v>
      </c>
      <c r="IT39"/>
    </row>
    <row r="40" spans="1:254" ht="27" customHeight="1">
      <c r="A40" s="3">
        <v>37</v>
      </c>
      <c r="B40" s="12">
        <v>2.2000000000000002</v>
      </c>
      <c r="C40" s="12">
        <v>106</v>
      </c>
      <c r="D40" s="12">
        <f t="shared" si="0"/>
        <v>0.15449499999999999</v>
      </c>
      <c r="E40" s="9" t="s">
        <v>213</v>
      </c>
      <c r="IT40"/>
    </row>
    <row r="41" spans="1:254" ht="27" customHeight="1">
      <c r="A41" s="3">
        <v>38</v>
      </c>
      <c r="B41" s="12">
        <v>2.4500000000000002</v>
      </c>
      <c r="C41" s="12">
        <v>104</v>
      </c>
      <c r="D41" s="12">
        <f t="shared" si="0"/>
        <v>0.16562000000000002</v>
      </c>
      <c r="E41" s="9" t="s">
        <v>17</v>
      </c>
      <c r="IT41"/>
    </row>
    <row r="42" spans="1:254" ht="27" customHeight="1">
      <c r="A42" s="3">
        <v>39</v>
      </c>
      <c r="B42" s="12">
        <v>2.2000000000000002</v>
      </c>
      <c r="C42" s="12">
        <v>104</v>
      </c>
      <c r="D42" s="12">
        <f t="shared" si="0"/>
        <v>0.14871999999999999</v>
      </c>
      <c r="E42" s="9" t="s">
        <v>188</v>
      </c>
      <c r="IT42"/>
    </row>
    <row r="43" spans="1:254" ht="27" customHeight="1">
      <c r="A43" s="3">
        <v>40</v>
      </c>
      <c r="B43" s="12">
        <v>2.6</v>
      </c>
      <c r="C43" s="12">
        <v>104</v>
      </c>
      <c r="D43" s="12">
        <f t="shared" si="0"/>
        <v>0.17576000000000003</v>
      </c>
      <c r="E43" s="9" t="s">
        <v>211</v>
      </c>
      <c r="IT43"/>
    </row>
    <row r="44" spans="1:254" ht="27" customHeight="1">
      <c r="A44" s="3">
        <v>41</v>
      </c>
      <c r="B44" s="12">
        <v>2.75</v>
      </c>
      <c r="C44" s="12">
        <v>103</v>
      </c>
      <c r="D44" s="12">
        <f t="shared" si="0"/>
        <v>0.1823421875</v>
      </c>
      <c r="E44" s="9" t="s">
        <v>129</v>
      </c>
      <c r="IT44"/>
    </row>
    <row r="45" spans="1:254" ht="27" customHeight="1">
      <c r="A45" s="3">
        <v>42</v>
      </c>
      <c r="B45" s="12">
        <v>2.4500000000000002</v>
      </c>
      <c r="C45" s="12">
        <v>103</v>
      </c>
      <c r="D45" s="12">
        <f t="shared" si="0"/>
        <v>0.16245031250000003</v>
      </c>
      <c r="E45" s="9" t="s">
        <v>162</v>
      </c>
      <c r="IT45"/>
    </row>
    <row r="46" spans="1:254" ht="27" customHeight="1">
      <c r="A46" s="3">
        <v>43</v>
      </c>
      <c r="B46" s="12">
        <v>2.2000000000000002</v>
      </c>
      <c r="C46" s="12">
        <v>102</v>
      </c>
      <c r="D46" s="12">
        <f t="shared" si="0"/>
        <v>0.14305499999999999</v>
      </c>
      <c r="E46" s="9" t="s">
        <v>15</v>
      </c>
      <c r="IT46"/>
    </row>
    <row r="47" spans="1:254" ht="27" customHeight="1">
      <c r="A47" s="3">
        <v>44</v>
      </c>
      <c r="B47" s="12">
        <v>2.4500000000000002</v>
      </c>
      <c r="C47" s="12">
        <v>102</v>
      </c>
      <c r="D47" s="12">
        <f t="shared" si="0"/>
        <v>0.15931124999999999</v>
      </c>
      <c r="E47" s="9" t="s">
        <v>49</v>
      </c>
      <c r="IT47"/>
    </row>
    <row r="48" spans="1:254" ht="27" customHeight="1">
      <c r="A48" s="3">
        <v>45</v>
      </c>
      <c r="B48" s="12">
        <v>2.75</v>
      </c>
      <c r="C48" s="12">
        <v>102</v>
      </c>
      <c r="D48" s="12">
        <f t="shared" si="0"/>
        <v>0.17881875</v>
      </c>
      <c r="E48" s="9" t="s">
        <v>61</v>
      </c>
      <c r="IT48"/>
    </row>
    <row r="49" spans="1:254" ht="27" customHeight="1">
      <c r="A49" s="3">
        <v>46</v>
      </c>
      <c r="B49" s="12">
        <v>2.2000000000000002</v>
      </c>
      <c r="C49" s="12">
        <v>102</v>
      </c>
      <c r="D49" s="12">
        <f t="shared" si="0"/>
        <v>0.14305499999999999</v>
      </c>
      <c r="E49" s="9" t="s">
        <v>119</v>
      </c>
      <c r="IT49"/>
    </row>
    <row r="50" spans="1:254" ht="27" customHeight="1">
      <c r="A50" s="3">
        <v>47</v>
      </c>
      <c r="B50" s="12">
        <v>2.2000000000000002</v>
      </c>
      <c r="C50" s="12">
        <v>101</v>
      </c>
      <c r="D50" s="12">
        <f t="shared" si="0"/>
        <v>0.14026374999999999</v>
      </c>
      <c r="E50" s="9" t="s">
        <v>134</v>
      </c>
      <c r="IT50"/>
    </row>
    <row r="51" spans="1:254" ht="27" customHeight="1">
      <c r="A51" s="3">
        <v>48</v>
      </c>
      <c r="B51" s="12">
        <v>2.2000000000000002</v>
      </c>
      <c r="C51" s="12">
        <v>101</v>
      </c>
      <c r="D51" s="12">
        <f t="shared" si="0"/>
        <v>0.14026374999999999</v>
      </c>
      <c r="E51" s="9" t="s">
        <v>192</v>
      </c>
      <c r="IT51"/>
    </row>
    <row r="52" spans="1:254" ht="27" customHeight="1">
      <c r="A52" s="3">
        <v>49</v>
      </c>
      <c r="B52" s="12">
        <v>2.2000000000000002</v>
      </c>
      <c r="C52" s="12">
        <v>100</v>
      </c>
      <c r="D52" s="12">
        <f t="shared" si="0"/>
        <v>0.13750000000000001</v>
      </c>
      <c r="E52" s="9" t="s">
        <v>32</v>
      </c>
      <c r="IT52"/>
    </row>
    <row r="53" spans="1:254" ht="27" customHeight="1">
      <c r="A53" s="3">
        <v>50</v>
      </c>
      <c r="B53" s="12">
        <v>2.75</v>
      </c>
      <c r="C53" s="12">
        <v>100</v>
      </c>
      <c r="D53" s="12">
        <f t="shared" si="0"/>
        <v>0.171875</v>
      </c>
      <c r="E53" s="9" t="s">
        <v>42</v>
      </c>
      <c r="IT53"/>
    </row>
    <row r="54" spans="1:254" ht="27" customHeight="1">
      <c r="A54" s="3">
        <v>51</v>
      </c>
      <c r="B54" s="12">
        <v>2.4500000000000002</v>
      </c>
      <c r="C54" s="12">
        <v>100</v>
      </c>
      <c r="D54" s="12">
        <f t="shared" si="0"/>
        <v>0.15312500000000001</v>
      </c>
      <c r="E54" s="9" t="s">
        <v>45</v>
      </c>
      <c r="IT54"/>
    </row>
    <row r="55" spans="1:254" ht="27" customHeight="1">
      <c r="A55" s="3">
        <v>52</v>
      </c>
      <c r="B55" s="12">
        <v>2.4500000000000002</v>
      </c>
      <c r="C55" s="12">
        <v>100</v>
      </c>
      <c r="D55" s="12">
        <f t="shared" si="0"/>
        <v>0.15312500000000001</v>
      </c>
      <c r="E55" s="9" t="s">
        <v>125</v>
      </c>
      <c r="IT55"/>
    </row>
    <row r="56" spans="1:254" ht="27" customHeight="1">
      <c r="A56" s="3">
        <v>53</v>
      </c>
      <c r="B56" s="12">
        <v>2.6</v>
      </c>
      <c r="C56" s="12">
        <v>100</v>
      </c>
      <c r="D56" s="12">
        <f t="shared" si="0"/>
        <v>0.16250000000000001</v>
      </c>
      <c r="E56" s="9" t="s">
        <v>130</v>
      </c>
      <c r="IT56"/>
    </row>
    <row r="57" spans="1:254" ht="27" customHeight="1">
      <c r="A57" s="3">
        <v>54</v>
      </c>
      <c r="B57" s="12">
        <v>2.4500000000000002</v>
      </c>
      <c r="C57" s="12">
        <v>100</v>
      </c>
      <c r="D57" s="12">
        <f t="shared" si="0"/>
        <v>0.15312500000000001</v>
      </c>
      <c r="E57" s="9" t="s">
        <v>139</v>
      </c>
      <c r="IT57"/>
    </row>
    <row r="58" spans="1:254" ht="27" customHeight="1">
      <c r="A58" s="3">
        <v>55</v>
      </c>
      <c r="B58" s="12">
        <v>2.6</v>
      </c>
      <c r="C58" s="12">
        <v>100</v>
      </c>
      <c r="D58" s="12">
        <f t="shared" si="0"/>
        <v>0.16250000000000001</v>
      </c>
      <c r="E58" s="9" t="s">
        <v>204</v>
      </c>
      <c r="IT58"/>
    </row>
    <row r="59" spans="1:254" ht="27" customHeight="1">
      <c r="A59" s="3">
        <v>56</v>
      </c>
      <c r="B59" s="12">
        <v>2.75</v>
      </c>
      <c r="C59" s="12">
        <v>100</v>
      </c>
      <c r="D59" s="12">
        <f t="shared" si="0"/>
        <v>0.171875</v>
      </c>
      <c r="E59" s="9" t="s">
        <v>214</v>
      </c>
      <c r="IT59"/>
    </row>
    <row r="60" spans="1:254" ht="27" customHeight="1">
      <c r="A60" s="3">
        <v>57</v>
      </c>
      <c r="B60" s="12">
        <v>2.4500000000000002</v>
      </c>
      <c r="C60" s="12">
        <v>98</v>
      </c>
      <c r="D60" s="12">
        <f t="shared" si="0"/>
        <v>0.14706125</v>
      </c>
      <c r="E60" s="9" t="s">
        <v>80</v>
      </c>
      <c r="IT60"/>
    </row>
    <row r="61" spans="1:254" ht="27" customHeight="1">
      <c r="A61" s="3">
        <v>58</v>
      </c>
      <c r="B61" s="12">
        <v>1.2</v>
      </c>
      <c r="C61" s="12">
        <v>98</v>
      </c>
      <c r="D61" s="12">
        <f t="shared" si="0"/>
        <v>7.2029999999999997E-2</v>
      </c>
      <c r="E61" s="9" t="s">
        <v>147</v>
      </c>
      <c r="IT61"/>
    </row>
    <row r="62" spans="1:254" ht="27" customHeight="1">
      <c r="A62" s="3">
        <v>59</v>
      </c>
      <c r="B62" s="12">
        <v>2.4500000000000002</v>
      </c>
      <c r="C62" s="12">
        <v>96</v>
      </c>
      <c r="D62" s="12">
        <f t="shared" si="0"/>
        <v>0.14112</v>
      </c>
      <c r="E62" s="9" t="s">
        <v>65</v>
      </c>
      <c r="IT62"/>
    </row>
    <row r="63" spans="1:254" ht="27" customHeight="1">
      <c r="A63" s="3">
        <v>60</v>
      </c>
      <c r="B63" s="12">
        <v>1.45</v>
      </c>
      <c r="C63" s="12">
        <v>96</v>
      </c>
      <c r="D63" s="12">
        <f t="shared" si="0"/>
        <v>8.3519999999999997E-2</v>
      </c>
      <c r="E63" s="9" t="s">
        <v>70</v>
      </c>
      <c r="IT63"/>
    </row>
    <row r="64" spans="1:254" ht="27" customHeight="1">
      <c r="A64" s="3">
        <v>61</v>
      </c>
      <c r="B64" s="12">
        <v>2.4500000000000002</v>
      </c>
      <c r="C64" s="12">
        <v>96</v>
      </c>
      <c r="D64" s="12">
        <f t="shared" si="0"/>
        <v>0.14112</v>
      </c>
      <c r="E64" s="9" t="s">
        <v>98</v>
      </c>
      <c r="IT64"/>
    </row>
    <row r="65" spans="1:254" ht="27" customHeight="1">
      <c r="A65" s="3">
        <v>62</v>
      </c>
      <c r="B65" s="12">
        <v>2.2000000000000002</v>
      </c>
      <c r="C65" s="12">
        <v>96</v>
      </c>
      <c r="D65" s="12">
        <f t="shared" si="0"/>
        <v>0.12672</v>
      </c>
      <c r="E65" s="9" t="s">
        <v>112</v>
      </c>
      <c r="IT65"/>
    </row>
    <row r="66" spans="1:254" ht="27" customHeight="1">
      <c r="A66" s="3">
        <v>63</v>
      </c>
      <c r="B66" s="12">
        <v>1.4</v>
      </c>
      <c r="C66" s="12">
        <v>96</v>
      </c>
      <c r="D66" s="12">
        <f t="shared" si="0"/>
        <v>8.0639999999999989E-2</v>
      </c>
      <c r="E66" s="9" t="s">
        <v>279</v>
      </c>
      <c r="IT66"/>
    </row>
    <row r="67" spans="1:254" ht="27" customHeight="1">
      <c r="A67" s="3">
        <v>64</v>
      </c>
      <c r="B67" s="12">
        <v>2.75</v>
      </c>
      <c r="C67" s="12">
        <v>96</v>
      </c>
      <c r="D67" s="12">
        <f t="shared" si="0"/>
        <v>0.15840000000000001</v>
      </c>
      <c r="E67" s="9" t="s">
        <v>175</v>
      </c>
      <c r="IT67"/>
    </row>
    <row r="68" spans="1:254" ht="27" customHeight="1">
      <c r="A68" s="3">
        <v>65</v>
      </c>
      <c r="B68" s="12">
        <v>2.2000000000000002</v>
      </c>
      <c r="C68" s="12">
        <v>96</v>
      </c>
      <c r="D68" s="12">
        <f t="shared" ref="D68:D131" si="1">B68*C68*C68/160000</f>
        <v>0.12672</v>
      </c>
      <c r="E68" s="9" t="s">
        <v>189</v>
      </c>
      <c r="IT68"/>
    </row>
    <row r="69" spans="1:254" ht="27" customHeight="1">
      <c r="A69" s="3">
        <v>66</v>
      </c>
      <c r="B69" s="12">
        <v>2.2000000000000002</v>
      </c>
      <c r="C69" s="12">
        <v>96</v>
      </c>
      <c r="D69" s="12">
        <f t="shared" si="1"/>
        <v>0.12672</v>
      </c>
      <c r="E69" s="9" t="s">
        <v>193</v>
      </c>
      <c r="IT69"/>
    </row>
    <row r="70" spans="1:254" ht="27" customHeight="1">
      <c r="A70" s="3">
        <v>67</v>
      </c>
      <c r="B70" s="12">
        <v>2.2000000000000002</v>
      </c>
      <c r="C70" s="12">
        <v>96</v>
      </c>
      <c r="D70" s="12">
        <f t="shared" si="1"/>
        <v>0.12672</v>
      </c>
      <c r="E70" s="9" t="s">
        <v>201</v>
      </c>
      <c r="IT70"/>
    </row>
    <row r="71" spans="1:254" ht="27" customHeight="1">
      <c r="A71" s="3">
        <v>68</v>
      </c>
      <c r="B71" s="12">
        <v>2.75</v>
      </c>
      <c r="C71" s="12">
        <v>96</v>
      </c>
      <c r="D71" s="12">
        <f t="shared" si="1"/>
        <v>0.15840000000000001</v>
      </c>
      <c r="E71" s="9" t="s">
        <v>208</v>
      </c>
      <c r="IT71"/>
    </row>
    <row r="72" spans="1:254" ht="27" customHeight="1">
      <c r="A72" s="3">
        <v>69</v>
      </c>
      <c r="B72" s="12">
        <v>2.2000000000000002</v>
      </c>
      <c r="C72" s="12">
        <v>95</v>
      </c>
      <c r="D72" s="12">
        <f t="shared" si="1"/>
        <v>0.12409375000000002</v>
      </c>
      <c r="E72" s="9" t="s">
        <v>138</v>
      </c>
      <c r="IT72"/>
    </row>
    <row r="73" spans="1:254" ht="27" customHeight="1">
      <c r="A73" s="3">
        <v>70</v>
      </c>
      <c r="B73" s="12">
        <v>2.2000000000000002</v>
      </c>
      <c r="C73" s="12">
        <v>94</v>
      </c>
      <c r="D73" s="12">
        <f t="shared" si="1"/>
        <v>0.12149500000000001</v>
      </c>
      <c r="E73" s="9" t="s">
        <v>220</v>
      </c>
      <c r="IT73"/>
    </row>
    <row r="74" spans="1:254" ht="27" customHeight="1">
      <c r="A74" s="3">
        <v>71</v>
      </c>
      <c r="B74" s="12">
        <v>2.2000000000000002</v>
      </c>
      <c r="C74" s="12">
        <v>94</v>
      </c>
      <c r="D74" s="12">
        <f t="shared" si="1"/>
        <v>0.12149500000000001</v>
      </c>
      <c r="E74" s="9" t="s">
        <v>120</v>
      </c>
      <c r="IT74"/>
    </row>
    <row r="75" spans="1:254" ht="27" customHeight="1">
      <c r="A75" s="3">
        <v>72</v>
      </c>
      <c r="B75" s="12">
        <v>2.2000000000000002</v>
      </c>
      <c r="C75" s="12">
        <v>94</v>
      </c>
      <c r="D75" s="12">
        <f t="shared" si="1"/>
        <v>0.12149500000000001</v>
      </c>
      <c r="E75" s="9" t="s">
        <v>212</v>
      </c>
      <c r="IT75"/>
    </row>
    <row r="76" spans="1:254" ht="27" customHeight="1">
      <c r="A76" s="3">
        <v>73</v>
      </c>
      <c r="B76" s="12">
        <v>2.2000000000000002</v>
      </c>
      <c r="C76" s="12">
        <v>93</v>
      </c>
      <c r="D76" s="12">
        <f t="shared" si="1"/>
        <v>0.11892375000000002</v>
      </c>
      <c r="E76" s="9" t="s">
        <v>113</v>
      </c>
      <c r="IT76"/>
    </row>
    <row r="77" spans="1:254" ht="27" customHeight="1">
      <c r="A77" s="3">
        <v>74</v>
      </c>
      <c r="B77" s="12">
        <v>2.2000000000000002</v>
      </c>
      <c r="C77" s="12">
        <v>93</v>
      </c>
      <c r="D77" s="12">
        <f t="shared" si="1"/>
        <v>0.11892375000000002</v>
      </c>
      <c r="E77" s="9" t="s">
        <v>260</v>
      </c>
      <c r="IT77"/>
    </row>
    <row r="78" spans="1:254" ht="27" customHeight="1">
      <c r="A78" s="3">
        <v>75</v>
      </c>
      <c r="B78" s="12">
        <v>2.2000000000000002</v>
      </c>
      <c r="C78" s="12">
        <v>92</v>
      </c>
      <c r="D78" s="12">
        <f t="shared" si="1"/>
        <v>0.11638</v>
      </c>
      <c r="E78" s="9" t="s">
        <v>25</v>
      </c>
      <c r="IT78"/>
    </row>
    <row r="79" spans="1:254" ht="27" customHeight="1">
      <c r="A79" s="3">
        <v>76</v>
      </c>
      <c r="B79" s="12">
        <v>2.75</v>
      </c>
      <c r="C79" s="12">
        <v>92</v>
      </c>
      <c r="D79" s="12">
        <f t="shared" si="1"/>
        <v>0.14547499999999999</v>
      </c>
      <c r="E79" s="9" t="s">
        <v>50</v>
      </c>
      <c r="IT79"/>
    </row>
    <row r="80" spans="1:254" ht="27" customHeight="1">
      <c r="A80" s="3">
        <v>77</v>
      </c>
      <c r="B80" s="12">
        <v>2.2000000000000002</v>
      </c>
      <c r="C80" s="12">
        <v>92</v>
      </c>
      <c r="D80" s="12">
        <f t="shared" si="1"/>
        <v>0.11638</v>
      </c>
      <c r="E80" s="9" t="s">
        <v>52</v>
      </c>
      <c r="IT80"/>
    </row>
    <row r="81" spans="1:254" ht="27" customHeight="1">
      <c r="A81" s="3">
        <v>78</v>
      </c>
      <c r="B81" s="12">
        <v>2.4500000000000002</v>
      </c>
      <c r="C81" s="12">
        <v>92</v>
      </c>
      <c r="D81" s="12">
        <f t="shared" si="1"/>
        <v>0.129605</v>
      </c>
      <c r="E81" s="9" t="s">
        <v>252</v>
      </c>
      <c r="IT81"/>
    </row>
    <row r="82" spans="1:254" ht="27" customHeight="1">
      <c r="A82" s="3">
        <v>79</v>
      </c>
      <c r="B82" s="12">
        <v>2.2000000000000002</v>
      </c>
      <c r="C82" s="12">
        <v>92</v>
      </c>
      <c r="D82" s="12">
        <f t="shared" si="1"/>
        <v>0.11638</v>
      </c>
      <c r="E82" s="9" t="s">
        <v>84</v>
      </c>
      <c r="IT82"/>
    </row>
    <row r="83" spans="1:254" ht="27" customHeight="1">
      <c r="A83" s="3">
        <v>80</v>
      </c>
      <c r="B83" s="12">
        <v>2.2000000000000002</v>
      </c>
      <c r="C83" s="12">
        <v>92</v>
      </c>
      <c r="D83" s="12">
        <f t="shared" si="1"/>
        <v>0.11638</v>
      </c>
      <c r="E83" s="9" t="s">
        <v>126</v>
      </c>
      <c r="IT83"/>
    </row>
    <row r="84" spans="1:254" ht="27" customHeight="1">
      <c r="A84" s="3">
        <v>81</v>
      </c>
      <c r="B84" s="12">
        <v>2.2000000000000002</v>
      </c>
      <c r="C84" s="12">
        <v>92</v>
      </c>
      <c r="D84" s="12">
        <f t="shared" si="1"/>
        <v>0.11638</v>
      </c>
      <c r="E84" s="9" t="s">
        <v>261</v>
      </c>
      <c r="IT84"/>
    </row>
    <row r="85" spans="1:254" ht="27" customHeight="1">
      <c r="A85" s="3">
        <v>82</v>
      </c>
      <c r="B85" s="12">
        <v>2.4500000000000002</v>
      </c>
      <c r="C85" s="12">
        <v>92</v>
      </c>
      <c r="D85" s="12">
        <f t="shared" si="1"/>
        <v>0.129605</v>
      </c>
      <c r="E85" s="9" t="s">
        <v>140</v>
      </c>
      <c r="IT85"/>
    </row>
    <row r="86" spans="1:254" ht="27" customHeight="1">
      <c r="A86" s="3">
        <v>83</v>
      </c>
      <c r="B86" s="12">
        <v>2.2000000000000002</v>
      </c>
      <c r="C86" s="12">
        <v>92</v>
      </c>
      <c r="D86" s="12">
        <f t="shared" si="1"/>
        <v>0.11638</v>
      </c>
      <c r="E86" s="9" t="s">
        <v>155</v>
      </c>
      <c r="IT86"/>
    </row>
    <row r="87" spans="1:254" ht="27" customHeight="1">
      <c r="A87" s="3">
        <v>84</v>
      </c>
      <c r="B87" s="12">
        <v>2.2000000000000002</v>
      </c>
      <c r="C87" s="12">
        <v>92</v>
      </c>
      <c r="D87" s="12">
        <f t="shared" si="1"/>
        <v>0.11638</v>
      </c>
      <c r="E87" s="9" t="s">
        <v>176</v>
      </c>
      <c r="IT87"/>
    </row>
    <row r="88" spans="1:254" ht="27" customHeight="1">
      <c r="A88" s="3">
        <v>85</v>
      </c>
      <c r="B88" s="12">
        <v>2.4500000000000002</v>
      </c>
      <c r="C88" s="12">
        <v>91</v>
      </c>
      <c r="D88" s="12">
        <f t="shared" si="1"/>
        <v>0.1268028125</v>
      </c>
      <c r="E88" s="9" t="s">
        <v>33</v>
      </c>
      <c r="IT88"/>
    </row>
    <row r="89" spans="1:254" ht="27" customHeight="1">
      <c r="A89" s="3">
        <v>86</v>
      </c>
      <c r="B89" s="12">
        <v>2.75</v>
      </c>
      <c r="C89" s="12">
        <v>91</v>
      </c>
      <c r="D89" s="12">
        <f t="shared" si="1"/>
        <v>0.1423296875</v>
      </c>
      <c r="E89" s="9" t="s">
        <v>46</v>
      </c>
      <c r="IT89"/>
    </row>
    <row r="90" spans="1:254" ht="27" customHeight="1">
      <c r="A90" s="3">
        <v>87</v>
      </c>
      <c r="B90" s="12">
        <v>2.2000000000000002</v>
      </c>
      <c r="C90" s="12">
        <v>91</v>
      </c>
      <c r="D90" s="12">
        <f t="shared" si="1"/>
        <v>0.11386375</v>
      </c>
      <c r="E90" s="9" t="s">
        <v>236</v>
      </c>
      <c r="IT90"/>
    </row>
    <row r="91" spans="1:254" ht="27" customHeight="1">
      <c r="A91" s="3">
        <v>88</v>
      </c>
      <c r="B91" s="12">
        <v>2.75</v>
      </c>
      <c r="C91" s="12">
        <v>91</v>
      </c>
      <c r="D91" s="12">
        <f t="shared" si="1"/>
        <v>0.1423296875</v>
      </c>
      <c r="E91" s="9" t="s">
        <v>163</v>
      </c>
      <c r="IT91"/>
    </row>
    <row r="92" spans="1:254" ht="27" customHeight="1">
      <c r="A92" s="3">
        <v>89</v>
      </c>
      <c r="B92" s="12">
        <v>2.4500000000000002</v>
      </c>
      <c r="C92" s="12">
        <v>91</v>
      </c>
      <c r="D92" s="12">
        <f t="shared" si="1"/>
        <v>0.1268028125</v>
      </c>
      <c r="E92" s="9" t="s">
        <v>181</v>
      </c>
      <c r="IT92"/>
    </row>
    <row r="93" spans="1:254" ht="27" customHeight="1">
      <c r="A93" s="3">
        <v>90</v>
      </c>
      <c r="B93" s="12">
        <v>2.2000000000000002</v>
      </c>
      <c r="C93" s="12">
        <v>90</v>
      </c>
      <c r="D93" s="12">
        <f t="shared" si="1"/>
        <v>0.11137500000000003</v>
      </c>
      <c r="E93" s="9" t="s">
        <v>250</v>
      </c>
      <c r="IT93"/>
    </row>
    <row r="94" spans="1:254" ht="27" customHeight="1">
      <c r="A94" s="3">
        <v>91</v>
      </c>
      <c r="B94" s="12">
        <v>2.2000000000000002</v>
      </c>
      <c r="C94" s="12">
        <v>90</v>
      </c>
      <c r="D94" s="12">
        <f t="shared" si="1"/>
        <v>0.11137500000000003</v>
      </c>
      <c r="E94" s="9" t="s">
        <v>18</v>
      </c>
      <c r="IT94"/>
    </row>
    <row r="95" spans="1:254" ht="27" customHeight="1">
      <c r="A95" s="3">
        <v>92</v>
      </c>
      <c r="B95" s="12">
        <v>2.4500000000000002</v>
      </c>
      <c r="C95" s="12">
        <v>90</v>
      </c>
      <c r="D95" s="12">
        <f t="shared" si="1"/>
        <v>0.12403125000000002</v>
      </c>
      <c r="E95" s="9" t="s">
        <v>26</v>
      </c>
      <c r="IT95"/>
    </row>
    <row r="96" spans="1:254" ht="27" customHeight="1">
      <c r="A96" s="3">
        <v>93</v>
      </c>
      <c r="B96" s="12">
        <v>1.2</v>
      </c>
      <c r="C96" s="12">
        <v>90</v>
      </c>
      <c r="D96" s="12">
        <f t="shared" si="1"/>
        <v>6.0749999999999998E-2</v>
      </c>
      <c r="E96" s="9" t="s">
        <v>28</v>
      </c>
      <c r="IT96"/>
    </row>
    <row r="97" spans="1:254" ht="27" customHeight="1">
      <c r="A97" s="3">
        <v>94</v>
      </c>
      <c r="B97" s="12">
        <v>2.2000000000000002</v>
      </c>
      <c r="C97" s="12">
        <v>90</v>
      </c>
      <c r="D97" s="12">
        <f t="shared" si="1"/>
        <v>0.11137500000000003</v>
      </c>
      <c r="E97" s="9" t="s">
        <v>34</v>
      </c>
      <c r="IT97"/>
    </row>
    <row r="98" spans="1:254" ht="27" customHeight="1">
      <c r="A98" s="3">
        <v>95</v>
      </c>
      <c r="B98" s="12">
        <v>2.75</v>
      </c>
      <c r="C98" s="12">
        <v>90</v>
      </c>
      <c r="D98" s="12">
        <f t="shared" si="1"/>
        <v>0.13921875</v>
      </c>
      <c r="E98" s="9" t="s">
        <v>38</v>
      </c>
      <c r="IT98"/>
    </row>
    <row r="99" spans="1:254" ht="27" customHeight="1">
      <c r="A99" s="3">
        <v>96</v>
      </c>
      <c r="B99" s="12">
        <v>2.75</v>
      </c>
      <c r="C99" s="12">
        <v>90</v>
      </c>
      <c r="D99" s="12">
        <f t="shared" si="1"/>
        <v>0.13921875</v>
      </c>
      <c r="E99" s="9" t="s">
        <v>43</v>
      </c>
      <c r="IT99"/>
    </row>
    <row r="100" spans="1:254" ht="27" customHeight="1">
      <c r="A100" s="3">
        <v>97</v>
      </c>
      <c r="B100" s="12">
        <v>2.2000000000000002</v>
      </c>
      <c r="C100" s="12">
        <v>90</v>
      </c>
      <c r="D100" s="12">
        <f t="shared" si="1"/>
        <v>0.11137500000000003</v>
      </c>
      <c r="E100" s="9" t="s">
        <v>53</v>
      </c>
      <c r="IT100"/>
    </row>
    <row r="101" spans="1:254" ht="27" customHeight="1">
      <c r="A101" s="3">
        <v>98</v>
      </c>
      <c r="B101" s="12">
        <v>2.2000000000000002</v>
      </c>
      <c r="C101" s="12">
        <v>90</v>
      </c>
      <c r="D101" s="12">
        <f t="shared" si="1"/>
        <v>0.11137500000000003</v>
      </c>
      <c r="E101" s="9" t="s">
        <v>75</v>
      </c>
      <c r="IT101"/>
    </row>
    <row r="102" spans="1:254" ht="27" customHeight="1">
      <c r="A102" s="3">
        <v>99</v>
      </c>
      <c r="B102" s="12">
        <v>2.2000000000000002</v>
      </c>
      <c r="C102" s="12">
        <v>90</v>
      </c>
      <c r="D102" s="12">
        <f t="shared" si="1"/>
        <v>0.11137500000000003</v>
      </c>
      <c r="E102" s="9" t="s">
        <v>81</v>
      </c>
      <c r="IT102"/>
    </row>
    <row r="103" spans="1:254" ht="27" customHeight="1">
      <c r="A103" s="3">
        <v>100</v>
      </c>
      <c r="B103" s="12">
        <v>2.2000000000000002</v>
      </c>
      <c r="C103" s="12">
        <v>90</v>
      </c>
      <c r="D103" s="12">
        <f t="shared" si="1"/>
        <v>0.11137500000000003</v>
      </c>
      <c r="E103" s="9" t="s">
        <v>85</v>
      </c>
      <c r="IT103"/>
    </row>
    <row r="104" spans="1:254" ht="27" customHeight="1">
      <c r="A104" s="3">
        <v>101</v>
      </c>
      <c r="B104" s="12">
        <v>2.75</v>
      </c>
      <c r="C104" s="12">
        <v>90</v>
      </c>
      <c r="D104" s="12">
        <f t="shared" si="1"/>
        <v>0.13921875</v>
      </c>
      <c r="E104" s="9" t="s">
        <v>95</v>
      </c>
      <c r="IT104"/>
    </row>
    <row r="105" spans="1:254" ht="27" customHeight="1">
      <c r="A105" s="3">
        <v>102</v>
      </c>
      <c r="B105" s="12">
        <v>2.4500000000000002</v>
      </c>
      <c r="C105" s="12">
        <v>90</v>
      </c>
      <c r="D105" s="12">
        <f t="shared" si="1"/>
        <v>0.12403125000000002</v>
      </c>
      <c r="E105" s="9" t="s">
        <v>135</v>
      </c>
      <c r="IT105"/>
    </row>
    <row r="106" spans="1:254" ht="27" customHeight="1">
      <c r="A106" s="3">
        <v>103</v>
      </c>
      <c r="B106" s="12">
        <v>2.2000000000000002</v>
      </c>
      <c r="C106" s="12">
        <v>90</v>
      </c>
      <c r="D106" s="12">
        <f t="shared" si="1"/>
        <v>0.11137500000000003</v>
      </c>
      <c r="E106" s="9" t="s">
        <v>148</v>
      </c>
      <c r="IT106"/>
    </row>
    <row r="107" spans="1:254" ht="27" customHeight="1">
      <c r="A107" s="3">
        <v>104</v>
      </c>
      <c r="B107" s="12">
        <v>1.2</v>
      </c>
      <c r="C107" s="12">
        <v>90</v>
      </c>
      <c r="D107" s="12">
        <f t="shared" si="1"/>
        <v>6.0749999999999998E-2</v>
      </c>
      <c r="E107" s="9" t="s">
        <v>159</v>
      </c>
      <c r="IT107"/>
    </row>
    <row r="108" spans="1:254" ht="27" customHeight="1">
      <c r="A108" s="3">
        <v>105</v>
      </c>
      <c r="B108" s="12">
        <v>2.4500000000000002</v>
      </c>
      <c r="C108" s="12">
        <v>90</v>
      </c>
      <c r="D108" s="12">
        <f t="shared" si="1"/>
        <v>0.12403125000000002</v>
      </c>
      <c r="E108" s="9" t="s">
        <v>205</v>
      </c>
      <c r="IT108"/>
    </row>
    <row r="109" spans="1:254" ht="27" customHeight="1">
      <c r="A109" s="3">
        <v>106</v>
      </c>
      <c r="B109" s="12">
        <v>2.6</v>
      </c>
      <c r="C109" s="12">
        <v>90</v>
      </c>
      <c r="D109" s="12">
        <f t="shared" si="1"/>
        <v>0.13162499999999999</v>
      </c>
      <c r="E109" s="9" t="s">
        <v>215</v>
      </c>
      <c r="IT109"/>
    </row>
    <row r="110" spans="1:254" ht="27" customHeight="1">
      <c r="A110" s="3">
        <v>107</v>
      </c>
      <c r="B110" s="12">
        <v>2.2000000000000002</v>
      </c>
      <c r="C110" s="12">
        <v>88</v>
      </c>
      <c r="D110" s="12">
        <f t="shared" si="1"/>
        <v>0.10648000000000002</v>
      </c>
      <c r="E110" s="9" t="s">
        <v>82</v>
      </c>
      <c r="IT110"/>
    </row>
    <row r="111" spans="1:254" ht="27" customHeight="1">
      <c r="A111" s="3">
        <v>108</v>
      </c>
      <c r="B111" s="12">
        <v>1.4</v>
      </c>
      <c r="C111" s="12">
        <v>88</v>
      </c>
      <c r="D111" s="12">
        <f t="shared" si="1"/>
        <v>6.7759999999999987E-2</v>
      </c>
      <c r="E111" s="9" t="s">
        <v>96</v>
      </c>
      <c r="IT111"/>
    </row>
    <row r="112" spans="1:254" ht="27" customHeight="1">
      <c r="A112" s="3">
        <v>109</v>
      </c>
      <c r="B112" s="12">
        <v>2.6</v>
      </c>
      <c r="C112" s="12">
        <v>88</v>
      </c>
      <c r="D112" s="12">
        <f t="shared" si="1"/>
        <v>0.12584000000000001</v>
      </c>
      <c r="E112" s="9" t="s">
        <v>101</v>
      </c>
      <c r="IT112"/>
    </row>
    <row r="113" spans="1:254" ht="27" customHeight="1">
      <c r="A113" s="3">
        <v>110</v>
      </c>
      <c r="B113" s="12">
        <v>2.2000000000000002</v>
      </c>
      <c r="C113" s="12">
        <v>88</v>
      </c>
      <c r="D113" s="12">
        <f t="shared" si="1"/>
        <v>0.10648000000000002</v>
      </c>
      <c r="E113" s="9" t="s">
        <v>107</v>
      </c>
      <c r="IT113"/>
    </row>
    <row r="114" spans="1:254" ht="27" customHeight="1">
      <c r="A114" s="3">
        <v>111</v>
      </c>
      <c r="B114" s="12">
        <v>2.4500000000000002</v>
      </c>
      <c r="C114" s="12">
        <v>88</v>
      </c>
      <c r="D114" s="12">
        <f t="shared" si="1"/>
        <v>0.11858000000000002</v>
      </c>
      <c r="E114" s="9" t="s">
        <v>184</v>
      </c>
      <c r="IT114"/>
    </row>
    <row r="115" spans="1:254" ht="27" customHeight="1">
      <c r="A115" s="3">
        <v>112</v>
      </c>
      <c r="B115" s="12">
        <v>2.2000000000000002</v>
      </c>
      <c r="C115" s="12">
        <v>88</v>
      </c>
      <c r="D115" s="12">
        <f t="shared" si="1"/>
        <v>0.10648000000000002</v>
      </c>
      <c r="E115" s="9" t="s">
        <v>248</v>
      </c>
      <c r="IT115"/>
    </row>
    <row r="116" spans="1:254" ht="27" customHeight="1">
      <c r="A116" s="3">
        <v>113</v>
      </c>
      <c r="B116" s="12">
        <v>1.2</v>
      </c>
      <c r="C116" s="12">
        <v>87</v>
      </c>
      <c r="D116" s="12">
        <f t="shared" si="1"/>
        <v>5.6767499999999999E-2</v>
      </c>
      <c r="E116" s="9" t="s">
        <v>88</v>
      </c>
      <c r="IT116"/>
    </row>
    <row r="117" spans="1:254" ht="27" customHeight="1">
      <c r="A117" s="3">
        <v>114</v>
      </c>
      <c r="B117" s="12">
        <v>2.2000000000000002</v>
      </c>
      <c r="C117" s="12">
        <v>87</v>
      </c>
      <c r="D117" s="12">
        <f t="shared" si="1"/>
        <v>0.10407374999999999</v>
      </c>
      <c r="E117" s="9" t="s">
        <v>114</v>
      </c>
      <c r="IT117"/>
    </row>
    <row r="118" spans="1:254" ht="27" customHeight="1">
      <c r="A118" s="3">
        <v>115</v>
      </c>
      <c r="B118" s="12">
        <v>2.2000000000000002</v>
      </c>
      <c r="C118" s="12">
        <v>87</v>
      </c>
      <c r="D118" s="12">
        <f t="shared" si="1"/>
        <v>0.10407374999999999</v>
      </c>
      <c r="E118" s="9" t="s">
        <v>190</v>
      </c>
      <c r="IT118"/>
    </row>
    <row r="119" spans="1:254" ht="27" customHeight="1">
      <c r="A119" s="3">
        <v>116</v>
      </c>
      <c r="B119" s="12">
        <v>2.4500000000000002</v>
      </c>
      <c r="C119" s="12">
        <v>86</v>
      </c>
      <c r="D119" s="12">
        <f t="shared" si="1"/>
        <v>0.11325125</v>
      </c>
      <c r="E119" s="9" t="s">
        <v>230</v>
      </c>
      <c r="IT119"/>
    </row>
    <row r="120" spans="1:254" ht="27" customHeight="1">
      <c r="A120" s="3">
        <v>117</v>
      </c>
      <c r="B120" s="12">
        <v>1.2</v>
      </c>
      <c r="C120" s="12">
        <v>86</v>
      </c>
      <c r="D120" s="12">
        <f t="shared" si="1"/>
        <v>5.5470000000000005E-2</v>
      </c>
      <c r="E120" s="9" t="s">
        <v>90</v>
      </c>
      <c r="IT120"/>
    </row>
    <row r="121" spans="1:254" ht="27" customHeight="1">
      <c r="A121" s="3">
        <v>118</v>
      </c>
      <c r="B121" s="12">
        <v>1.2</v>
      </c>
      <c r="C121" s="12">
        <v>86</v>
      </c>
      <c r="D121" s="12">
        <f t="shared" si="1"/>
        <v>5.5470000000000005E-2</v>
      </c>
      <c r="E121" s="9" t="s">
        <v>108</v>
      </c>
      <c r="IT121"/>
    </row>
    <row r="122" spans="1:254" ht="27" customHeight="1">
      <c r="A122" s="3">
        <v>119</v>
      </c>
      <c r="B122" s="12">
        <v>2.2000000000000002</v>
      </c>
      <c r="C122" s="12">
        <v>86</v>
      </c>
      <c r="D122" s="12">
        <f t="shared" si="1"/>
        <v>0.10169500000000001</v>
      </c>
      <c r="E122" s="9" t="s">
        <v>131</v>
      </c>
      <c r="IT122"/>
    </row>
    <row r="123" spans="1:254" ht="27" customHeight="1">
      <c r="A123" s="3">
        <v>120</v>
      </c>
      <c r="B123" s="12">
        <v>1.45</v>
      </c>
      <c r="C123" s="12">
        <v>86</v>
      </c>
      <c r="D123" s="12">
        <f t="shared" si="1"/>
        <v>6.7026250000000009E-2</v>
      </c>
      <c r="E123" s="9" t="s">
        <v>289</v>
      </c>
      <c r="IT123"/>
    </row>
    <row r="124" spans="1:254" ht="27" customHeight="1">
      <c r="A124" s="3">
        <v>121</v>
      </c>
      <c r="B124" s="12">
        <v>2.75</v>
      </c>
      <c r="C124" s="12">
        <v>86</v>
      </c>
      <c r="D124" s="12">
        <f t="shared" si="1"/>
        <v>0.12711875</v>
      </c>
      <c r="E124" s="9" t="s">
        <v>164</v>
      </c>
      <c r="IT124"/>
    </row>
    <row r="125" spans="1:254" ht="27" customHeight="1">
      <c r="A125" s="3">
        <v>122</v>
      </c>
      <c r="B125" s="12">
        <v>2.2000000000000002</v>
      </c>
      <c r="C125" s="12">
        <v>86</v>
      </c>
      <c r="D125" s="12">
        <f t="shared" si="1"/>
        <v>0.10169500000000001</v>
      </c>
      <c r="E125" s="9" t="s">
        <v>265</v>
      </c>
      <c r="IT125"/>
    </row>
    <row r="126" spans="1:254" ht="27" customHeight="1">
      <c r="A126" s="3">
        <v>123</v>
      </c>
      <c r="B126" s="12">
        <v>2.2000000000000002</v>
      </c>
      <c r="C126" s="12">
        <v>85</v>
      </c>
      <c r="D126" s="12">
        <f t="shared" si="1"/>
        <v>9.9343750000000008E-2</v>
      </c>
      <c r="E126" s="9" t="s">
        <v>29</v>
      </c>
      <c r="IT126"/>
    </row>
    <row r="127" spans="1:254" ht="27" customHeight="1">
      <c r="A127" s="3">
        <v>124</v>
      </c>
      <c r="B127" s="12">
        <v>2.4500000000000002</v>
      </c>
      <c r="C127" s="12">
        <v>84</v>
      </c>
      <c r="D127" s="12">
        <f t="shared" si="1"/>
        <v>0.108045</v>
      </c>
      <c r="E127" s="9" t="s">
        <v>22</v>
      </c>
      <c r="IT127"/>
    </row>
    <row r="128" spans="1:254" ht="27" customHeight="1">
      <c r="A128" s="3">
        <v>125</v>
      </c>
      <c r="B128" s="12">
        <v>2.2000000000000002</v>
      </c>
      <c r="C128" s="12">
        <v>84</v>
      </c>
      <c r="D128" s="12">
        <f t="shared" si="1"/>
        <v>9.7020000000000009E-2</v>
      </c>
      <c r="E128" s="9" t="s">
        <v>27</v>
      </c>
      <c r="IT128"/>
    </row>
    <row r="129" spans="1:254" ht="27" customHeight="1">
      <c r="A129" s="3">
        <v>126</v>
      </c>
      <c r="B129" s="12">
        <v>2.75</v>
      </c>
      <c r="C129" s="12">
        <v>84</v>
      </c>
      <c r="D129" s="12">
        <f t="shared" si="1"/>
        <v>0.12127499999999999</v>
      </c>
      <c r="E129" s="9" t="s">
        <v>39</v>
      </c>
      <c r="IT129"/>
    </row>
    <row r="130" spans="1:254" ht="27" customHeight="1">
      <c r="A130" s="3">
        <v>127</v>
      </c>
      <c r="B130" s="12">
        <v>2.2000000000000002</v>
      </c>
      <c r="C130" s="12">
        <v>84</v>
      </c>
      <c r="D130" s="12">
        <f t="shared" si="1"/>
        <v>9.7020000000000009E-2</v>
      </c>
      <c r="E130" s="9" t="s">
        <v>227</v>
      </c>
      <c r="IT130"/>
    </row>
    <row r="131" spans="1:254" ht="27" customHeight="1">
      <c r="A131" s="3">
        <v>128</v>
      </c>
      <c r="B131" s="12">
        <v>2.2000000000000002</v>
      </c>
      <c r="C131" s="12">
        <v>84</v>
      </c>
      <c r="D131" s="12">
        <f t="shared" si="1"/>
        <v>9.7020000000000009E-2</v>
      </c>
      <c r="E131" s="9" t="s">
        <v>54</v>
      </c>
      <c r="IT131"/>
    </row>
    <row r="132" spans="1:254" ht="27" customHeight="1">
      <c r="A132" s="3">
        <v>129</v>
      </c>
      <c r="B132" s="12">
        <v>2.4500000000000002</v>
      </c>
      <c r="C132" s="12">
        <v>84</v>
      </c>
      <c r="D132" s="12">
        <f t="shared" ref="D132:D195" si="2">B132*C132*C132/160000</f>
        <v>0.108045</v>
      </c>
      <c r="E132" s="9" t="s">
        <v>76</v>
      </c>
      <c r="IT132"/>
    </row>
    <row r="133" spans="1:254" ht="27" customHeight="1">
      <c r="A133" s="3">
        <v>130</v>
      </c>
      <c r="B133" s="12">
        <v>1.2</v>
      </c>
      <c r="C133" s="12">
        <v>84</v>
      </c>
      <c r="D133" s="12">
        <f t="shared" si="2"/>
        <v>5.2919999999999995E-2</v>
      </c>
      <c r="E133" s="9" t="s">
        <v>83</v>
      </c>
      <c r="IT133"/>
    </row>
    <row r="134" spans="1:254" ht="27" customHeight="1">
      <c r="A134" s="3">
        <v>131</v>
      </c>
      <c r="B134" s="12">
        <v>2.2000000000000002</v>
      </c>
      <c r="C134" s="12">
        <v>84</v>
      </c>
      <c r="D134" s="12">
        <f t="shared" si="2"/>
        <v>9.7020000000000009E-2</v>
      </c>
      <c r="E134" s="9" t="s">
        <v>86</v>
      </c>
      <c r="IT134"/>
    </row>
    <row r="135" spans="1:254" ht="27" customHeight="1">
      <c r="A135" s="3">
        <v>132</v>
      </c>
      <c r="B135" s="12">
        <v>2.4500000000000002</v>
      </c>
      <c r="C135" s="12">
        <v>84</v>
      </c>
      <c r="D135" s="12">
        <f t="shared" si="2"/>
        <v>0.108045</v>
      </c>
      <c r="E135" s="9" t="s">
        <v>89</v>
      </c>
      <c r="IT135"/>
    </row>
    <row r="136" spans="1:254" ht="27" customHeight="1">
      <c r="A136" s="3">
        <v>133</v>
      </c>
      <c r="B136" s="12">
        <v>2.4500000000000002</v>
      </c>
      <c r="C136" s="12">
        <v>84</v>
      </c>
      <c r="D136" s="12">
        <f t="shared" si="2"/>
        <v>0.108045</v>
      </c>
      <c r="E136" s="9" t="s">
        <v>99</v>
      </c>
      <c r="IT136"/>
    </row>
    <row r="137" spans="1:254" ht="27" customHeight="1">
      <c r="A137" s="3">
        <v>134</v>
      </c>
      <c r="B137" s="12">
        <v>2.2000000000000002</v>
      </c>
      <c r="C137" s="12">
        <v>84</v>
      </c>
      <c r="D137" s="12">
        <f t="shared" si="2"/>
        <v>9.7020000000000009E-2</v>
      </c>
      <c r="E137" s="9" t="s">
        <v>156</v>
      </c>
      <c r="IT137"/>
    </row>
    <row r="138" spans="1:254" ht="27" customHeight="1">
      <c r="A138" s="3">
        <v>135</v>
      </c>
      <c r="B138" s="12">
        <v>2.4500000000000002</v>
      </c>
      <c r="C138" s="12">
        <v>84</v>
      </c>
      <c r="D138" s="12">
        <f t="shared" si="2"/>
        <v>0.108045</v>
      </c>
      <c r="E138" s="9" t="s">
        <v>198</v>
      </c>
      <c r="IT138"/>
    </row>
    <row r="139" spans="1:254" ht="27" customHeight="1">
      <c r="A139" s="3">
        <v>136</v>
      </c>
      <c r="B139" s="12">
        <v>1.6</v>
      </c>
      <c r="C139" s="12">
        <v>84</v>
      </c>
      <c r="D139" s="12">
        <f t="shared" si="2"/>
        <v>7.0559999999999998E-2</v>
      </c>
      <c r="E139" s="9" t="s">
        <v>202</v>
      </c>
      <c r="IT139"/>
    </row>
    <row r="140" spans="1:254" ht="27" customHeight="1">
      <c r="A140" s="3">
        <v>137</v>
      </c>
      <c r="B140" s="12">
        <v>2.2000000000000002</v>
      </c>
      <c r="C140" s="12">
        <v>84</v>
      </c>
      <c r="D140" s="12">
        <f t="shared" si="2"/>
        <v>9.7020000000000009E-2</v>
      </c>
      <c r="E140" s="9" t="s">
        <v>206</v>
      </c>
      <c r="IT140"/>
    </row>
    <row r="141" spans="1:254" ht="27" customHeight="1">
      <c r="A141" s="3">
        <v>138</v>
      </c>
      <c r="B141" s="12">
        <v>2.4500000000000002</v>
      </c>
      <c r="C141" s="12">
        <v>84</v>
      </c>
      <c r="D141" s="12">
        <f t="shared" si="2"/>
        <v>0.108045</v>
      </c>
      <c r="E141" s="9" t="s">
        <v>209</v>
      </c>
      <c r="IT141"/>
    </row>
    <row r="142" spans="1:254" ht="27" customHeight="1">
      <c r="A142" s="3">
        <v>139</v>
      </c>
      <c r="B142" s="12">
        <v>1.2</v>
      </c>
      <c r="C142" s="12">
        <v>84</v>
      </c>
      <c r="D142" s="12">
        <f t="shared" si="2"/>
        <v>5.2919999999999995E-2</v>
      </c>
      <c r="E142" s="9" t="s">
        <v>249</v>
      </c>
      <c r="IT142"/>
    </row>
    <row r="143" spans="1:254" ht="27" customHeight="1">
      <c r="A143" s="3">
        <v>140</v>
      </c>
      <c r="B143" s="12">
        <v>2.6</v>
      </c>
      <c r="C143" s="12">
        <v>84</v>
      </c>
      <c r="D143" s="12">
        <f t="shared" si="2"/>
        <v>0.11466000000000001</v>
      </c>
      <c r="E143" s="9" t="s">
        <v>216</v>
      </c>
      <c r="IT143"/>
    </row>
    <row r="144" spans="1:254" ht="27" customHeight="1">
      <c r="A144" s="3">
        <v>141</v>
      </c>
      <c r="B144" s="12">
        <v>2.2000000000000002</v>
      </c>
      <c r="C144" s="12">
        <v>83</v>
      </c>
      <c r="D144" s="12">
        <f t="shared" si="2"/>
        <v>9.4723750000000009E-2</v>
      </c>
      <c r="E144" s="9" t="s">
        <v>30</v>
      </c>
      <c r="IT144"/>
    </row>
    <row r="145" spans="1:254" ht="27" customHeight="1">
      <c r="A145" s="3">
        <v>142</v>
      </c>
      <c r="B145" s="12">
        <v>2.2000000000000002</v>
      </c>
      <c r="C145" s="12">
        <v>83</v>
      </c>
      <c r="D145" s="12">
        <f t="shared" si="2"/>
        <v>9.4723750000000009E-2</v>
      </c>
      <c r="E145" s="9" t="s">
        <v>55</v>
      </c>
      <c r="IT145"/>
    </row>
    <row r="146" spans="1:254" ht="27" customHeight="1">
      <c r="A146" s="3">
        <v>143</v>
      </c>
      <c r="B146" s="12">
        <v>2.6</v>
      </c>
      <c r="C146" s="12">
        <v>83</v>
      </c>
      <c r="D146" s="12">
        <f t="shared" si="2"/>
        <v>0.11194625000000001</v>
      </c>
      <c r="E146" s="9" t="s">
        <v>121</v>
      </c>
      <c r="IT146"/>
    </row>
    <row r="147" spans="1:254" ht="27" customHeight="1">
      <c r="A147" s="3">
        <v>144</v>
      </c>
      <c r="B147" s="12">
        <v>2.2000000000000002</v>
      </c>
      <c r="C147" s="12">
        <v>83</v>
      </c>
      <c r="D147" s="12">
        <f t="shared" si="2"/>
        <v>9.4723750000000009E-2</v>
      </c>
      <c r="E147" s="9" t="s">
        <v>132</v>
      </c>
      <c r="IT147"/>
    </row>
    <row r="148" spans="1:254" ht="27" customHeight="1">
      <c r="A148" s="3">
        <v>145</v>
      </c>
      <c r="B148" s="12">
        <v>2.2000000000000002</v>
      </c>
      <c r="C148" s="12">
        <v>83</v>
      </c>
      <c r="D148" s="12">
        <f t="shared" si="2"/>
        <v>9.4723750000000009E-2</v>
      </c>
      <c r="E148" s="9" t="s">
        <v>223</v>
      </c>
      <c r="IT148"/>
    </row>
    <row r="149" spans="1:254" ht="27" customHeight="1">
      <c r="A149" s="3">
        <v>146</v>
      </c>
      <c r="B149" s="12">
        <v>2.6</v>
      </c>
      <c r="C149" s="12">
        <v>83</v>
      </c>
      <c r="D149" s="12">
        <f t="shared" si="2"/>
        <v>0.11194625000000001</v>
      </c>
      <c r="E149" s="9" t="s">
        <v>246</v>
      </c>
      <c r="IT149"/>
    </row>
    <row r="150" spans="1:254" ht="27" customHeight="1">
      <c r="A150" s="3">
        <v>147</v>
      </c>
      <c r="B150" s="12">
        <v>2.2000000000000002</v>
      </c>
      <c r="C150" s="12">
        <v>82</v>
      </c>
      <c r="D150" s="12">
        <f t="shared" si="2"/>
        <v>9.2455000000000009E-2</v>
      </c>
      <c r="E150" s="9" t="s">
        <v>270</v>
      </c>
      <c r="IT150"/>
    </row>
    <row r="151" spans="1:254" ht="27" customHeight="1">
      <c r="A151" s="3">
        <v>148</v>
      </c>
      <c r="B151" s="12">
        <v>2.2000000000000002</v>
      </c>
      <c r="C151" s="12">
        <v>82</v>
      </c>
      <c r="D151" s="12">
        <f t="shared" si="2"/>
        <v>9.2455000000000009E-2</v>
      </c>
      <c r="E151" s="9" t="s">
        <v>225</v>
      </c>
      <c r="IT151"/>
    </row>
    <row r="152" spans="1:254" ht="27" customHeight="1">
      <c r="A152" s="3">
        <v>149</v>
      </c>
      <c r="B152" s="12">
        <v>2.2000000000000002</v>
      </c>
      <c r="C152" s="12">
        <v>82</v>
      </c>
      <c r="D152" s="12">
        <f t="shared" si="2"/>
        <v>9.2455000000000009E-2</v>
      </c>
      <c r="E152" s="9" t="s">
        <v>35</v>
      </c>
      <c r="IT152"/>
    </row>
    <row r="153" spans="1:254" ht="27" customHeight="1">
      <c r="A153" s="3">
        <v>150</v>
      </c>
      <c r="B153" s="12">
        <v>2.4500000000000002</v>
      </c>
      <c r="C153" s="12">
        <v>82</v>
      </c>
      <c r="D153" s="12">
        <f t="shared" si="2"/>
        <v>0.10296124999999999</v>
      </c>
      <c r="E153" s="9" t="s">
        <v>228</v>
      </c>
      <c r="IT153"/>
    </row>
    <row r="154" spans="1:254" ht="27" customHeight="1">
      <c r="A154" s="3">
        <v>151</v>
      </c>
      <c r="B154" s="12">
        <v>2.2000000000000002</v>
      </c>
      <c r="C154" s="12">
        <v>82</v>
      </c>
      <c r="D154" s="12">
        <f t="shared" si="2"/>
        <v>9.2455000000000009E-2</v>
      </c>
      <c r="E154" s="9" t="s">
        <v>66</v>
      </c>
      <c r="IT154"/>
    </row>
    <row r="155" spans="1:254" ht="27" customHeight="1">
      <c r="A155" s="3">
        <v>152</v>
      </c>
      <c r="B155" s="12">
        <v>2.4500000000000002</v>
      </c>
      <c r="C155" s="12">
        <v>82</v>
      </c>
      <c r="D155" s="12">
        <f t="shared" si="2"/>
        <v>0.10296124999999999</v>
      </c>
      <c r="E155" s="9" t="s">
        <v>149</v>
      </c>
      <c r="IT155"/>
    </row>
    <row r="156" spans="1:254" ht="27" customHeight="1">
      <c r="A156" s="3">
        <v>153</v>
      </c>
      <c r="B156" s="12">
        <v>2.2000000000000002</v>
      </c>
      <c r="C156" s="12">
        <v>82</v>
      </c>
      <c r="D156" s="12">
        <f t="shared" si="2"/>
        <v>9.2455000000000009E-2</v>
      </c>
      <c r="E156" s="9" t="s">
        <v>153</v>
      </c>
      <c r="IT156"/>
    </row>
    <row r="157" spans="1:254" ht="27" customHeight="1">
      <c r="A157" s="3">
        <v>154</v>
      </c>
      <c r="B157" s="12">
        <v>2.2000000000000002</v>
      </c>
      <c r="C157" s="12">
        <v>82</v>
      </c>
      <c r="D157" s="12">
        <f t="shared" si="2"/>
        <v>9.2455000000000009E-2</v>
      </c>
      <c r="E157" s="9" t="s">
        <v>185</v>
      </c>
      <c r="IT157"/>
    </row>
    <row r="158" spans="1:254" ht="27" customHeight="1">
      <c r="A158" s="3">
        <v>155</v>
      </c>
      <c r="B158" s="12">
        <v>2.6</v>
      </c>
      <c r="C158" s="12">
        <v>82</v>
      </c>
      <c r="D158" s="12">
        <f t="shared" si="2"/>
        <v>0.10926500000000001</v>
      </c>
      <c r="E158" s="9" t="s">
        <v>195</v>
      </c>
      <c r="IT158"/>
    </row>
    <row r="159" spans="1:254" ht="27" customHeight="1">
      <c r="A159" s="3">
        <v>156</v>
      </c>
      <c r="B159" s="12">
        <v>2.2000000000000002</v>
      </c>
      <c r="C159" s="12">
        <v>82</v>
      </c>
      <c r="D159" s="12">
        <f t="shared" si="2"/>
        <v>9.2455000000000009E-2</v>
      </c>
      <c r="E159" s="9" t="s">
        <v>203</v>
      </c>
      <c r="IT159"/>
    </row>
    <row r="160" spans="1:254" ht="27" customHeight="1">
      <c r="A160" s="3">
        <v>157</v>
      </c>
      <c r="B160" s="12">
        <v>2.4500000000000002</v>
      </c>
      <c r="C160" s="12">
        <v>81</v>
      </c>
      <c r="D160" s="12">
        <f t="shared" si="2"/>
        <v>0.1004653125</v>
      </c>
      <c r="E160" s="9" t="s">
        <v>141</v>
      </c>
      <c r="IT160"/>
    </row>
    <row r="161" spans="1:254" ht="27" customHeight="1">
      <c r="A161" s="3">
        <v>158</v>
      </c>
      <c r="B161" s="12">
        <v>2.75</v>
      </c>
      <c r="C161" s="12">
        <v>80</v>
      </c>
      <c r="D161" s="12">
        <f t="shared" si="2"/>
        <v>0.11</v>
      </c>
      <c r="E161" s="9" t="s">
        <v>19</v>
      </c>
      <c r="IT161"/>
    </row>
    <row r="162" spans="1:254" ht="27" customHeight="1">
      <c r="A162" s="3">
        <v>159</v>
      </c>
      <c r="B162" s="12">
        <v>1.2</v>
      </c>
      <c r="C162" s="12">
        <v>80</v>
      </c>
      <c r="D162" s="12">
        <f t="shared" si="2"/>
        <v>4.8000000000000001E-2</v>
      </c>
      <c r="E162" s="9" t="s">
        <v>47</v>
      </c>
      <c r="IT162"/>
    </row>
    <row r="163" spans="1:254" ht="27" customHeight="1">
      <c r="A163" s="3">
        <v>160</v>
      </c>
      <c r="B163" s="12">
        <v>2.2000000000000002</v>
      </c>
      <c r="C163" s="12">
        <v>80</v>
      </c>
      <c r="D163" s="12">
        <f t="shared" si="2"/>
        <v>8.7999999999999995E-2</v>
      </c>
      <c r="E163" s="9" t="s">
        <v>67</v>
      </c>
      <c r="IT163"/>
    </row>
    <row r="164" spans="1:254" ht="27" customHeight="1">
      <c r="A164" s="3">
        <v>161</v>
      </c>
      <c r="B164" s="12">
        <v>1.2</v>
      </c>
      <c r="C164" s="12">
        <v>80</v>
      </c>
      <c r="D164" s="12">
        <f t="shared" si="2"/>
        <v>4.8000000000000001E-2</v>
      </c>
      <c r="E164" s="9" t="s">
        <v>272</v>
      </c>
      <c r="IT164"/>
    </row>
    <row r="165" spans="1:254" ht="27" customHeight="1">
      <c r="A165" s="3">
        <v>162</v>
      </c>
      <c r="B165" s="12">
        <v>2.4500000000000002</v>
      </c>
      <c r="C165" s="12">
        <v>80</v>
      </c>
      <c r="D165" s="12">
        <f t="shared" si="2"/>
        <v>9.8000000000000004E-2</v>
      </c>
      <c r="E165" s="9" t="s">
        <v>77</v>
      </c>
      <c r="IT165"/>
    </row>
    <row r="166" spans="1:254" ht="27" customHeight="1">
      <c r="A166" s="3">
        <v>163</v>
      </c>
      <c r="B166" s="12">
        <v>2.2000000000000002</v>
      </c>
      <c r="C166" s="12">
        <v>80</v>
      </c>
      <c r="D166" s="12">
        <f t="shared" si="2"/>
        <v>8.7999999999999995E-2</v>
      </c>
      <c r="E166" s="9" t="s">
        <v>222</v>
      </c>
      <c r="IT166"/>
    </row>
    <row r="167" spans="1:254" ht="27" customHeight="1">
      <c r="A167" s="3">
        <v>164</v>
      </c>
      <c r="B167" s="12">
        <v>1.2</v>
      </c>
      <c r="C167" s="12">
        <v>80</v>
      </c>
      <c r="D167" s="12">
        <f t="shared" si="2"/>
        <v>4.8000000000000001E-2</v>
      </c>
      <c r="E167" s="9" t="s">
        <v>97</v>
      </c>
      <c r="IT167"/>
    </row>
    <row r="168" spans="1:254" ht="27" customHeight="1">
      <c r="A168" s="3">
        <v>165</v>
      </c>
      <c r="B168" s="12">
        <v>2.2000000000000002</v>
      </c>
      <c r="C168" s="12">
        <v>80</v>
      </c>
      <c r="D168" s="12">
        <f t="shared" si="2"/>
        <v>8.7999999999999995E-2</v>
      </c>
      <c r="E168" s="9" t="s">
        <v>100</v>
      </c>
      <c r="IT168"/>
    </row>
    <row r="169" spans="1:254" ht="27" customHeight="1">
      <c r="A169" s="3">
        <v>166</v>
      </c>
      <c r="B169" s="12">
        <v>1.6</v>
      </c>
      <c r="C169" s="12">
        <v>80</v>
      </c>
      <c r="D169" s="12">
        <f t="shared" si="2"/>
        <v>6.4000000000000001E-2</v>
      </c>
      <c r="E169" s="9" t="s">
        <v>234</v>
      </c>
      <c r="IT169"/>
    </row>
    <row r="170" spans="1:254" ht="27" customHeight="1">
      <c r="A170" s="3">
        <v>167</v>
      </c>
      <c r="B170" s="12">
        <v>2.2000000000000002</v>
      </c>
      <c r="C170" s="12">
        <v>80</v>
      </c>
      <c r="D170" s="12">
        <f t="shared" si="2"/>
        <v>8.7999999999999995E-2</v>
      </c>
      <c r="E170" s="9" t="s">
        <v>115</v>
      </c>
      <c r="IT170"/>
    </row>
    <row r="171" spans="1:254" ht="27" customHeight="1">
      <c r="A171" s="3">
        <v>168</v>
      </c>
      <c r="B171" s="12">
        <v>2.2000000000000002</v>
      </c>
      <c r="C171" s="12">
        <v>80</v>
      </c>
      <c r="D171" s="12">
        <f t="shared" si="2"/>
        <v>8.7999999999999995E-2</v>
      </c>
      <c r="E171" s="9" t="s">
        <v>116</v>
      </c>
      <c r="IT171"/>
    </row>
    <row r="172" spans="1:254" ht="27" customHeight="1">
      <c r="A172" s="3">
        <v>169</v>
      </c>
      <c r="B172" s="12">
        <v>2.2000000000000002</v>
      </c>
      <c r="C172" s="12">
        <v>80</v>
      </c>
      <c r="D172" s="12">
        <f t="shared" si="2"/>
        <v>8.7999999999999995E-2</v>
      </c>
      <c r="E172" s="9" t="s">
        <v>239</v>
      </c>
      <c r="IT172"/>
    </row>
    <row r="173" spans="1:254" ht="27" customHeight="1">
      <c r="A173" s="3">
        <v>170</v>
      </c>
      <c r="B173" s="12">
        <v>2.2000000000000002</v>
      </c>
      <c r="C173" s="12">
        <v>80</v>
      </c>
      <c r="D173" s="12">
        <f t="shared" si="2"/>
        <v>8.7999999999999995E-2</v>
      </c>
      <c r="E173" s="9" t="s">
        <v>154</v>
      </c>
      <c r="IT173"/>
    </row>
    <row r="174" spans="1:254" ht="27" customHeight="1">
      <c r="A174" s="3">
        <v>171</v>
      </c>
      <c r="B174" s="12">
        <v>2.2000000000000002</v>
      </c>
      <c r="C174" s="12">
        <v>80</v>
      </c>
      <c r="D174" s="12">
        <f t="shared" si="2"/>
        <v>8.7999999999999995E-2</v>
      </c>
      <c r="E174" s="9" t="s">
        <v>160</v>
      </c>
      <c r="IT174"/>
    </row>
    <row r="175" spans="1:254" ht="27" customHeight="1">
      <c r="A175" s="3">
        <v>172</v>
      </c>
      <c r="B175" s="12">
        <v>2.4500000000000002</v>
      </c>
      <c r="C175" s="12">
        <v>80</v>
      </c>
      <c r="D175" s="12">
        <f t="shared" si="2"/>
        <v>9.8000000000000004E-2</v>
      </c>
      <c r="E175" s="9" t="s">
        <v>166</v>
      </c>
      <c r="IT175"/>
    </row>
    <row r="176" spans="1:254" ht="27" customHeight="1">
      <c r="A176" s="3">
        <v>173</v>
      </c>
      <c r="B176" s="12">
        <v>2.2000000000000002</v>
      </c>
      <c r="C176" s="12">
        <v>80</v>
      </c>
      <c r="D176" s="12">
        <f t="shared" si="2"/>
        <v>8.7999999999999995E-2</v>
      </c>
      <c r="E176" s="9" t="s">
        <v>170</v>
      </c>
      <c r="IT176"/>
    </row>
    <row r="177" spans="1:254" ht="27" customHeight="1">
      <c r="A177" s="3">
        <v>174</v>
      </c>
      <c r="B177" s="12">
        <v>2.2000000000000002</v>
      </c>
      <c r="C177" s="12">
        <v>80</v>
      </c>
      <c r="D177" s="12">
        <f t="shared" si="2"/>
        <v>8.7999999999999995E-2</v>
      </c>
      <c r="E177" s="9" t="s">
        <v>177</v>
      </c>
      <c r="IT177"/>
    </row>
    <row r="178" spans="1:254" ht="27" customHeight="1">
      <c r="A178" s="3">
        <v>175</v>
      </c>
      <c r="B178" s="12">
        <v>2.2000000000000002</v>
      </c>
      <c r="C178" s="12">
        <v>80</v>
      </c>
      <c r="D178" s="12">
        <f t="shared" si="2"/>
        <v>8.7999999999999995E-2</v>
      </c>
      <c r="E178" s="9" t="s">
        <v>281</v>
      </c>
      <c r="IT178"/>
    </row>
    <row r="179" spans="1:254" ht="27" customHeight="1">
      <c r="A179" s="3">
        <v>176</v>
      </c>
      <c r="B179" s="12">
        <v>2.4500000000000002</v>
      </c>
      <c r="C179" s="12">
        <v>80</v>
      </c>
      <c r="D179" s="12">
        <f t="shared" si="2"/>
        <v>9.8000000000000004E-2</v>
      </c>
      <c r="E179" s="9" t="s">
        <v>194</v>
      </c>
      <c r="IT179"/>
    </row>
    <row r="180" spans="1:254" ht="27" customHeight="1">
      <c r="A180" s="3">
        <v>177</v>
      </c>
      <c r="B180" s="12">
        <v>2.2000000000000002</v>
      </c>
      <c r="C180" s="12">
        <v>80</v>
      </c>
      <c r="D180" s="12">
        <f t="shared" si="2"/>
        <v>8.7999999999999995E-2</v>
      </c>
      <c r="E180" s="9" t="s">
        <v>219</v>
      </c>
      <c r="IT180"/>
    </row>
    <row r="181" spans="1:254" ht="27" customHeight="1">
      <c r="A181" s="3">
        <v>178</v>
      </c>
      <c r="B181" s="12">
        <v>2.2000000000000002</v>
      </c>
      <c r="C181" s="12">
        <v>79</v>
      </c>
      <c r="D181" s="12">
        <f t="shared" si="2"/>
        <v>8.5813750000000008E-2</v>
      </c>
      <c r="E181" s="9" t="s">
        <v>186</v>
      </c>
      <c r="IT181"/>
    </row>
    <row r="182" spans="1:254" ht="27" customHeight="1">
      <c r="A182" s="3">
        <v>179</v>
      </c>
      <c r="B182" s="12">
        <v>2.2000000000000002</v>
      </c>
      <c r="C182" s="12">
        <v>78</v>
      </c>
      <c r="D182" s="12">
        <f t="shared" si="2"/>
        <v>8.3655000000000007E-2</v>
      </c>
      <c r="E182" s="9" t="s">
        <v>40</v>
      </c>
      <c r="IT182"/>
    </row>
    <row r="183" spans="1:254" ht="27" customHeight="1">
      <c r="A183" s="3">
        <v>180</v>
      </c>
      <c r="B183" s="12">
        <v>2.6</v>
      </c>
      <c r="C183" s="12">
        <v>78</v>
      </c>
      <c r="D183" s="12">
        <f t="shared" si="2"/>
        <v>9.8865000000000008E-2</v>
      </c>
      <c r="E183" s="9" t="s">
        <v>251</v>
      </c>
      <c r="IT183"/>
    </row>
    <row r="184" spans="1:254" ht="27" customHeight="1">
      <c r="A184" s="3">
        <v>181</v>
      </c>
      <c r="B184" s="12">
        <v>2.6</v>
      </c>
      <c r="C184" s="12">
        <v>78</v>
      </c>
      <c r="D184" s="12">
        <f t="shared" si="2"/>
        <v>9.8865000000000008E-2</v>
      </c>
      <c r="E184" s="9" t="s">
        <v>102</v>
      </c>
      <c r="IT184"/>
    </row>
    <row r="185" spans="1:254" ht="27" customHeight="1">
      <c r="A185" s="3">
        <v>182</v>
      </c>
      <c r="B185" s="12">
        <v>2.75</v>
      </c>
      <c r="C185" s="12">
        <v>78</v>
      </c>
      <c r="D185" s="12">
        <f t="shared" si="2"/>
        <v>0.10456875</v>
      </c>
      <c r="E185" s="9" t="s">
        <v>109</v>
      </c>
      <c r="IT185"/>
    </row>
    <row r="186" spans="1:254" ht="27" customHeight="1">
      <c r="A186" s="3">
        <v>183</v>
      </c>
      <c r="B186" s="12">
        <v>2.2000000000000002</v>
      </c>
      <c r="C186" s="12">
        <v>78</v>
      </c>
      <c r="D186" s="12">
        <f t="shared" si="2"/>
        <v>8.3655000000000007E-2</v>
      </c>
      <c r="E186" s="9" t="s">
        <v>235</v>
      </c>
      <c r="IT186"/>
    </row>
    <row r="187" spans="1:254" ht="27" customHeight="1">
      <c r="A187" s="3">
        <v>184</v>
      </c>
      <c r="B187" s="12">
        <v>2.2000000000000002</v>
      </c>
      <c r="C187" s="12">
        <v>78</v>
      </c>
      <c r="D187" s="12">
        <f t="shared" si="2"/>
        <v>8.3655000000000007E-2</v>
      </c>
      <c r="E187" s="9" t="s">
        <v>127</v>
      </c>
      <c r="IT187"/>
    </row>
    <row r="188" spans="1:254" ht="27" customHeight="1">
      <c r="A188" s="3">
        <v>185</v>
      </c>
      <c r="B188" s="12">
        <v>2.2000000000000002</v>
      </c>
      <c r="C188" s="12">
        <v>78</v>
      </c>
      <c r="D188" s="12">
        <f t="shared" si="2"/>
        <v>8.3655000000000007E-2</v>
      </c>
      <c r="E188" s="9" t="s">
        <v>157</v>
      </c>
      <c r="IT188"/>
    </row>
    <row r="189" spans="1:254" ht="27" customHeight="1">
      <c r="A189" s="3">
        <v>186</v>
      </c>
      <c r="B189" s="12">
        <v>2.4500000000000002</v>
      </c>
      <c r="C189" s="12">
        <v>78</v>
      </c>
      <c r="D189" s="12">
        <f t="shared" si="2"/>
        <v>9.3161250000000001E-2</v>
      </c>
      <c r="E189" s="9" t="s">
        <v>182</v>
      </c>
      <c r="IT189"/>
    </row>
    <row r="190" spans="1:254" ht="27" customHeight="1">
      <c r="A190" s="3">
        <v>187</v>
      </c>
      <c r="B190" s="12">
        <v>2.75</v>
      </c>
      <c r="C190" s="12">
        <v>78</v>
      </c>
      <c r="D190" s="12">
        <f t="shared" si="2"/>
        <v>0.10456875</v>
      </c>
      <c r="E190" s="9" t="s">
        <v>247</v>
      </c>
      <c r="IT190"/>
    </row>
    <row r="191" spans="1:254" ht="27" customHeight="1">
      <c r="A191" s="3">
        <v>188</v>
      </c>
      <c r="B191" s="12">
        <v>2.2000000000000002</v>
      </c>
      <c r="C191" s="12">
        <v>77</v>
      </c>
      <c r="D191" s="12">
        <f t="shared" si="2"/>
        <v>8.1523750000000006E-2</v>
      </c>
      <c r="E191" s="9" t="s">
        <v>237</v>
      </c>
      <c r="IT191"/>
    </row>
    <row r="192" spans="1:254" ht="27" customHeight="1">
      <c r="A192" s="3">
        <v>189</v>
      </c>
      <c r="B192" s="12">
        <v>2.2000000000000002</v>
      </c>
      <c r="C192" s="12">
        <v>77</v>
      </c>
      <c r="D192" s="12">
        <f t="shared" si="2"/>
        <v>8.1523750000000006E-2</v>
      </c>
      <c r="E192" s="9" t="s">
        <v>142</v>
      </c>
      <c r="IT192"/>
    </row>
    <row r="193" spans="1:254" ht="27" customHeight="1">
      <c r="A193" s="3">
        <v>190</v>
      </c>
      <c r="B193" s="12">
        <v>2.2000000000000002</v>
      </c>
      <c r="C193" s="12">
        <v>76</v>
      </c>
      <c r="D193" s="12">
        <f t="shared" si="2"/>
        <v>7.9420000000000004E-2</v>
      </c>
      <c r="E193" s="9" t="s">
        <v>221</v>
      </c>
      <c r="IT193"/>
    </row>
    <row r="194" spans="1:254" ht="27" customHeight="1">
      <c r="A194" s="3">
        <v>191</v>
      </c>
      <c r="B194" s="12">
        <v>2.2000000000000002</v>
      </c>
      <c r="C194" s="12">
        <v>76</v>
      </c>
      <c r="D194" s="12">
        <f t="shared" si="2"/>
        <v>7.9420000000000004E-2</v>
      </c>
      <c r="E194" s="9" t="s">
        <v>280</v>
      </c>
      <c r="IT194"/>
    </row>
    <row r="195" spans="1:254" ht="27" customHeight="1">
      <c r="A195" s="3">
        <v>192</v>
      </c>
      <c r="B195" s="12">
        <v>1.2</v>
      </c>
      <c r="C195" s="12">
        <v>76</v>
      </c>
      <c r="D195" s="12">
        <f t="shared" si="2"/>
        <v>4.3319999999999997E-2</v>
      </c>
      <c r="E195" s="9" t="s">
        <v>36</v>
      </c>
      <c r="IT195"/>
    </row>
    <row r="196" spans="1:254" ht="27" customHeight="1">
      <c r="A196" s="3">
        <v>193</v>
      </c>
      <c r="B196" s="12">
        <v>2.2000000000000002</v>
      </c>
      <c r="C196" s="12">
        <v>76</v>
      </c>
      <c r="D196" s="12">
        <f t="shared" ref="D196:D259" si="3">B196*C196*C196/160000</f>
        <v>7.9420000000000004E-2</v>
      </c>
      <c r="E196" s="9" t="s">
        <v>62</v>
      </c>
      <c r="IT196"/>
    </row>
    <row r="197" spans="1:254" ht="27" customHeight="1">
      <c r="A197" s="3">
        <v>194</v>
      </c>
      <c r="B197" s="12">
        <v>1.2</v>
      </c>
      <c r="C197" s="12">
        <v>76</v>
      </c>
      <c r="D197" s="12">
        <f t="shared" si="3"/>
        <v>4.3319999999999997E-2</v>
      </c>
      <c r="E197" s="9" t="s">
        <v>103</v>
      </c>
      <c r="IT197"/>
    </row>
    <row r="198" spans="1:254" ht="27" customHeight="1">
      <c r="A198" s="3">
        <v>195</v>
      </c>
      <c r="B198" s="12">
        <v>2.2000000000000002</v>
      </c>
      <c r="C198" s="12">
        <v>76</v>
      </c>
      <c r="D198" s="12">
        <f t="shared" si="3"/>
        <v>7.9420000000000004E-2</v>
      </c>
      <c r="E198" s="9" t="s">
        <v>196</v>
      </c>
      <c r="IT198"/>
    </row>
    <row r="199" spans="1:254" ht="27" customHeight="1">
      <c r="A199" s="3">
        <v>196</v>
      </c>
      <c r="B199" s="12">
        <v>1.2</v>
      </c>
      <c r="C199" s="12">
        <v>74</v>
      </c>
      <c r="D199" s="12">
        <f t="shared" si="3"/>
        <v>4.1069999999999995E-2</v>
      </c>
      <c r="E199" s="9" t="s">
        <v>284</v>
      </c>
      <c r="IT199"/>
    </row>
    <row r="200" spans="1:254" ht="27" customHeight="1">
      <c r="A200" s="3">
        <v>197</v>
      </c>
      <c r="B200" s="12">
        <v>2.2000000000000002</v>
      </c>
      <c r="C200" s="12">
        <v>74</v>
      </c>
      <c r="D200" s="12">
        <f t="shared" si="3"/>
        <v>7.5295000000000001E-2</v>
      </c>
      <c r="E200" s="9" t="s">
        <v>78</v>
      </c>
      <c r="IT200"/>
    </row>
    <row r="201" spans="1:254" ht="27" customHeight="1">
      <c r="A201" s="3">
        <v>198</v>
      </c>
      <c r="B201" s="12">
        <v>1.45</v>
      </c>
      <c r="C201" s="12">
        <v>74</v>
      </c>
      <c r="D201" s="12">
        <f t="shared" si="3"/>
        <v>4.9626249999999997E-2</v>
      </c>
      <c r="E201" s="9" t="s">
        <v>283</v>
      </c>
      <c r="IT201"/>
    </row>
    <row r="202" spans="1:254" ht="27" customHeight="1">
      <c r="A202" s="3">
        <v>199</v>
      </c>
      <c r="B202" s="12">
        <v>2.2000000000000002</v>
      </c>
      <c r="C202" s="12">
        <v>74</v>
      </c>
      <c r="D202" s="12">
        <f t="shared" si="3"/>
        <v>7.5295000000000001E-2</v>
      </c>
      <c r="E202" s="9" t="s">
        <v>238</v>
      </c>
      <c r="IT202"/>
    </row>
    <row r="203" spans="1:254" ht="27" customHeight="1">
      <c r="A203" s="3">
        <v>200</v>
      </c>
      <c r="B203" s="12">
        <v>2.4500000000000002</v>
      </c>
      <c r="C203" s="12">
        <v>74</v>
      </c>
      <c r="D203" s="12">
        <f t="shared" si="3"/>
        <v>8.3851250000000002E-2</v>
      </c>
      <c r="E203" s="9" t="s">
        <v>150</v>
      </c>
      <c r="IT203"/>
    </row>
    <row r="204" spans="1:254" ht="27" customHeight="1">
      <c r="A204" s="3">
        <v>201</v>
      </c>
      <c r="B204" s="12">
        <v>2.4500000000000002</v>
      </c>
      <c r="C204" s="12">
        <v>74</v>
      </c>
      <c r="D204" s="12">
        <f t="shared" si="3"/>
        <v>8.3851250000000002E-2</v>
      </c>
      <c r="E204" s="9" t="s">
        <v>199</v>
      </c>
      <c r="IT204"/>
    </row>
    <row r="205" spans="1:254" ht="27" customHeight="1">
      <c r="A205" s="3">
        <v>202</v>
      </c>
      <c r="B205" s="12">
        <v>2.2000000000000002</v>
      </c>
      <c r="C205" s="12">
        <v>74</v>
      </c>
      <c r="D205" s="12">
        <f t="shared" si="3"/>
        <v>7.5295000000000001E-2</v>
      </c>
      <c r="E205" s="9" t="s">
        <v>268</v>
      </c>
      <c r="IT205"/>
    </row>
    <row r="206" spans="1:254" ht="27" customHeight="1">
      <c r="A206" s="3">
        <v>203</v>
      </c>
      <c r="B206" s="12">
        <v>2.2000000000000002</v>
      </c>
      <c r="C206" s="12">
        <v>73</v>
      </c>
      <c r="D206" s="12">
        <f t="shared" si="3"/>
        <v>7.3273750000000012E-2</v>
      </c>
      <c r="E206" s="9" t="s">
        <v>91</v>
      </c>
      <c r="IT206"/>
    </row>
    <row r="207" spans="1:254" ht="27" customHeight="1">
      <c r="A207" s="3">
        <v>204</v>
      </c>
      <c r="B207" s="12">
        <v>2.2000000000000002</v>
      </c>
      <c r="C207" s="12">
        <v>73</v>
      </c>
      <c r="D207" s="12">
        <f t="shared" si="3"/>
        <v>7.3273750000000012E-2</v>
      </c>
      <c r="E207" s="9" t="s">
        <v>117</v>
      </c>
      <c r="IT207"/>
    </row>
    <row r="208" spans="1:254" ht="27" customHeight="1">
      <c r="A208" s="3">
        <v>205</v>
      </c>
      <c r="B208" s="12">
        <v>2.2000000000000002</v>
      </c>
      <c r="C208" s="12">
        <v>73</v>
      </c>
      <c r="D208" s="12">
        <f t="shared" si="3"/>
        <v>7.3273750000000012E-2</v>
      </c>
      <c r="E208" s="9" t="s">
        <v>161</v>
      </c>
      <c r="IT208"/>
    </row>
    <row r="209" spans="1:254" ht="27" customHeight="1">
      <c r="A209" s="3">
        <v>206</v>
      </c>
      <c r="B209" s="12">
        <v>2.2000000000000002</v>
      </c>
      <c r="C209" s="12">
        <v>73</v>
      </c>
      <c r="D209" s="12">
        <f t="shared" si="3"/>
        <v>7.3273750000000012E-2</v>
      </c>
      <c r="E209" s="9" t="s">
        <v>165</v>
      </c>
      <c r="IT209"/>
    </row>
    <row r="210" spans="1:254" ht="27" customHeight="1">
      <c r="A210" s="3">
        <v>207</v>
      </c>
      <c r="B210" s="12">
        <v>2.2000000000000002</v>
      </c>
      <c r="C210" s="12">
        <v>72</v>
      </c>
      <c r="D210" s="12">
        <f t="shared" si="3"/>
        <v>7.128000000000001E-2</v>
      </c>
      <c r="E210" s="9" t="s">
        <v>31</v>
      </c>
      <c r="IT210"/>
    </row>
    <row r="211" spans="1:254" ht="27" customHeight="1">
      <c r="A211" s="3">
        <v>208</v>
      </c>
      <c r="B211" s="12">
        <v>2.2000000000000002</v>
      </c>
      <c r="C211" s="12">
        <v>72</v>
      </c>
      <c r="D211" s="12">
        <f t="shared" si="3"/>
        <v>7.128000000000001E-2</v>
      </c>
      <c r="E211" s="9" t="s">
        <v>63</v>
      </c>
      <c r="IT211"/>
    </row>
    <row r="212" spans="1:254" ht="27" customHeight="1">
      <c r="A212" s="3">
        <v>209</v>
      </c>
      <c r="B212" s="12">
        <v>2.2000000000000002</v>
      </c>
      <c r="C212" s="12">
        <v>72</v>
      </c>
      <c r="D212" s="12">
        <f t="shared" si="3"/>
        <v>7.128000000000001E-2</v>
      </c>
      <c r="E212" s="9" t="s">
        <v>68</v>
      </c>
      <c r="IT212"/>
    </row>
    <row r="213" spans="1:254" ht="27" customHeight="1">
      <c r="A213" s="3">
        <v>210</v>
      </c>
      <c r="B213" s="12">
        <v>2.2000000000000002</v>
      </c>
      <c r="C213" s="12">
        <v>72</v>
      </c>
      <c r="D213" s="12">
        <f t="shared" si="3"/>
        <v>7.128000000000001E-2</v>
      </c>
      <c r="E213" s="9" t="s">
        <v>87</v>
      </c>
      <c r="IT213"/>
    </row>
    <row r="214" spans="1:254" ht="27" customHeight="1">
      <c r="A214" s="3">
        <v>211</v>
      </c>
      <c r="B214" s="12">
        <v>2.2000000000000002</v>
      </c>
      <c r="C214" s="12">
        <v>72</v>
      </c>
      <c r="D214" s="12">
        <f t="shared" si="3"/>
        <v>7.128000000000001E-2</v>
      </c>
      <c r="E214" s="9" t="s">
        <v>232</v>
      </c>
      <c r="IT214"/>
    </row>
    <row r="215" spans="1:254" ht="27" customHeight="1">
      <c r="A215" s="3">
        <v>212</v>
      </c>
      <c r="B215" s="12">
        <v>2.2000000000000002</v>
      </c>
      <c r="C215" s="12">
        <v>72</v>
      </c>
      <c r="D215" s="12">
        <f t="shared" si="3"/>
        <v>7.128000000000001E-2</v>
      </c>
      <c r="E215" s="9" t="s">
        <v>233</v>
      </c>
      <c r="IT215"/>
    </row>
    <row r="216" spans="1:254" ht="27" customHeight="1">
      <c r="A216" s="3">
        <v>213</v>
      </c>
      <c r="B216" s="12">
        <v>2.2000000000000002</v>
      </c>
      <c r="C216" s="12">
        <v>72</v>
      </c>
      <c r="D216" s="12">
        <f t="shared" si="3"/>
        <v>7.128000000000001E-2</v>
      </c>
      <c r="E216" s="9" t="s">
        <v>259</v>
      </c>
      <c r="IT216"/>
    </row>
    <row r="217" spans="1:254" ht="27" customHeight="1">
      <c r="A217" s="3">
        <v>214</v>
      </c>
      <c r="B217" s="12">
        <v>2.4500000000000002</v>
      </c>
      <c r="C217" s="12">
        <v>72</v>
      </c>
      <c r="D217" s="12">
        <f t="shared" si="3"/>
        <v>7.9380000000000006E-2</v>
      </c>
      <c r="E217" s="9" t="s">
        <v>278</v>
      </c>
      <c r="IT217"/>
    </row>
    <row r="218" spans="1:254" ht="27" customHeight="1">
      <c r="A218" s="3">
        <v>215</v>
      </c>
      <c r="B218" s="12">
        <v>2.2000000000000002</v>
      </c>
      <c r="C218" s="12">
        <v>72</v>
      </c>
      <c r="D218" s="12">
        <f t="shared" si="3"/>
        <v>7.128000000000001E-2</v>
      </c>
      <c r="E218" s="9" t="s">
        <v>217</v>
      </c>
      <c r="IT218"/>
    </row>
    <row r="219" spans="1:254" ht="27" customHeight="1">
      <c r="A219" s="3">
        <v>216</v>
      </c>
      <c r="B219" s="12">
        <v>1.2</v>
      </c>
      <c r="C219" s="12">
        <v>72</v>
      </c>
      <c r="D219" s="12">
        <f t="shared" si="3"/>
        <v>3.8879999999999998E-2</v>
      </c>
      <c r="E219" s="9" t="s">
        <v>197</v>
      </c>
      <c r="IT219"/>
    </row>
    <row r="220" spans="1:254" ht="27" customHeight="1">
      <c r="A220" s="3">
        <v>217</v>
      </c>
      <c r="B220" s="12">
        <v>2.2000000000000002</v>
      </c>
      <c r="C220" s="12">
        <v>72</v>
      </c>
      <c r="D220" s="12">
        <f t="shared" si="3"/>
        <v>7.128000000000001E-2</v>
      </c>
      <c r="E220" s="9" t="s">
        <v>200</v>
      </c>
      <c r="IT220"/>
    </row>
    <row r="221" spans="1:254" ht="27" customHeight="1">
      <c r="A221" s="3">
        <v>218</v>
      </c>
      <c r="B221" s="12">
        <v>2.75</v>
      </c>
      <c r="C221" s="12">
        <v>71</v>
      </c>
      <c r="D221" s="12">
        <f t="shared" si="3"/>
        <v>8.6642187499999995E-2</v>
      </c>
      <c r="E221" s="9" t="s">
        <v>20</v>
      </c>
      <c r="IT221"/>
    </row>
    <row r="222" spans="1:254" ht="27" customHeight="1">
      <c r="A222" s="3">
        <v>219</v>
      </c>
      <c r="B222" s="12">
        <v>2.2000000000000002</v>
      </c>
      <c r="C222" s="12">
        <v>71</v>
      </c>
      <c r="D222" s="12">
        <f t="shared" si="3"/>
        <v>6.9313750000000007E-2</v>
      </c>
      <c r="E222" s="9" t="s">
        <v>23</v>
      </c>
      <c r="IT222"/>
    </row>
    <row r="223" spans="1:254" ht="27" customHeight="1">
      <c r="A223" s="3">
        <v>220</v>
      </c>
      <c r="B223" s="12">
        <v>2.2000000000000002</v>
      </c>
      <c r="C223" s="12">
        <v>71</v>
      </c>
      <c r="D223" s="12">
        <f t="shared" si="3"/>
        <v>6.9313750000000007E-2</v>
      </c>
      <c r="E223" s="9" t="s">
        <v>133</v>
      </c>
      <c r="IT223"/>
    </row>
    <row r="224" spans="1:254" ht="27" customHeight="1">
      <c r="A224" s="3">
        <v>221</v>
      </c>
      <c r="B224" s="12">
        <v>2.2000000000000002</v>
      </c>
      <c r="C224" s="12">
        <v>71</v>
      </c>
      <c r="D224" s="12">
        <f t="shared" si="3"/>
        <v>6.9313750000000007E-2</v>
      </c>
      <c r="E224" s="9" t="s">
        <v>241</v>
      </c>
      <c r="IT224"/>
    </row>
    <row r="225" spans="1:254" ht="27" customHeight="1">
      <c r="A225" s="3">
        <v>222</v>
      </c>
      <c r="B225" s="12">
        <v>2.75</v>
      </c>
      <c r="C225" s="12">
        <v>71</v>
      </c>
      <c r="D225" s="12">
        <f t="shared" si="3"/>
        <v>8.6642187499999995E-2</v>
      </c>
      <c r="E225" s="9" t="s">
        <v>167</v>
      </c>
      <c r="IT225"/>
    </row>
    <row r="226" spans="1:254" ht="27" customHeight="1">
      <c r="A226" s="3">
        <v>223</v>
      </c>
      <c r="B226" s="12">
        <v>2.2000000000000002</v>
      </c>
      <c r="C226" s="12">
        <v>71</v>
      </c>
      <c r="D226" s="12">
        <f t="shared" si="3"/>
        <v>6.9313750000000007E-2</v>
      </c>
      <c r="E226" s="9" t="s">
        <v>178</v>
      </c>
      <c r="IT226"/>
    </row>
    <row r="227" spans="1:254" ht="27" customHeight="1">
      <c r="A227" s="3">
        <v>224</v>
      </c>
      <c r="B227" s="12">
        <v>2.2000000000000002</v>
      </c>
      <c r="C227" s="12">
        <v>70</v>
      </c>
      <c r="D227" s="12">
        <f t="shared" si="3"/>
        <v>6.7375000000000004E-2</v>
      </c>
      <c r="E227" s="9" t="s">
        <v>56</v>
      </c>
      <c r="IT227"/>
    </row>
    <row r="228" spans="1:254" ht="27" customHeight="1">
      <c r="A228" s="3">
        <v>225</v>
      </c>
      <c r="B228" s="12">
        <v>1.2</v>
      </c>
      <c r="C228" s="12">
        <v>70</v>
      </c>
      <c r="D228" s="12">
        <f t="shared" si="3"/>
        <v>3.6749999999999998E-2</v>
      </c>
      <c r="E228" s="9" t="s">
        <v>231</v>
      </c>
      <c r="IT228"/>
    </row>
    <row r="229" spans="1:254" ht="27" customHeight="1">
      <c r="A229" s="3">
        <v>226</v>
      </c>
      <c r="B229" s="12">
        <v>2.2000000000000002</v>
      </c>
      <c r="C229" s="12">
        <v>70</v>
      </c>
      <c r="D229" s="12">
        <f t="shared" si="3"/>
        <v>6.7375000000000004E-2</v>
      </c>
      <c r="E229" s="9" t="s">
        <v>255</v>
      </c>
      <c r="IT229"/>
    </row>
    <row r="230" spans="1:254" ht="27" customHeight="1">
      <c r="A230" s="3">
        <v>227</v>
      </c>
      <c r="B230" s="12">
        <v>2.2000000000000002</v>
      </c>
      <c r="C230" s="12">
        <v>70</v>
      </c>
      <c r="D230" s="12">
        <f t="shared" si="3"/>
        <v>6.7375000000000004E-2</v>
      </c>
      <c r="E230" s="9" t="s">
        <v>92</v>
      </c>
      <c r="IT230"/>
    </row>
    <row r="231" spans="1:254" ht="27" customHeight="1">
      <c r="A231" s="3">
        <v>228</v>
      </c>
      <c r="B231" s="12">
        <v>1.2</v>
      </c>
      <c r="C231" s="12">
        <v>70</v>
      </c>
      <c r="D231" s="12">
        <f t="shared" si="3"/>
        <v>3.6749999999999998E-2</v>
      </c>
      <c r="E231" s="9" t="s">
        <v>262</v>
      </c>
      <c r="IT231"/>
    </row>
    <row r="232" spans="1:254" ht="27" customHeight="1">
      <c r="A232" s="3">
        <v>229</v>
      </c>
      <c r="B232" s="12">
        <v>2.2000000000000002</v>
      </c>
      <c r="C232" s="12">
        <v>70</v>
      </c>
      <c r="D232" s="12">
        <f t="shared" si="3"/>
        <v>6.7375000000000004E-2</v>
      </c>
      <c r="E232" s="9" t="s">
        <v>158</v>
      </c>
      <c r="IT232"/>
    </row>
    <row r="233" spans="1:254" ht="27" customHeight="1">
      <c r="A233" s="3">
        <v>230</v>
      </c>
      <c r="B233" s="12">
        <v>2.2000000000000002</v>
      </c>
      <c r="C233" s="12">
        <v>70</v>
      </c>
      <c r="D233" s="12">
        <f t="shared" si="3"/>
        <v>6.7375000000000004E-2</v>
      </c>
      <c r="E233" s="9" t="s">
        <v>179</v>
      </c>
      <c r="IT233"/>
    </row>
    <row r="234" spans="1:254" ht="27" customHeight="1">
      <c r="A234" s="3">
        <v>231</v>
      </c>
      <c r="B234" s="12">
        <v>1.45</v>
      </c>
      <c r="C234" s="12">
        <v>70</v>
      </c>
      <c r="D234" s="12">
        <f t="shared" si="3"/>
        <v>4.4406250000000001E-2</v>
      </c>
      <c r="E234" s="9" t="s">
        <v>245</v>
      </c>
      <c r="IT234"/>
    </row>
    <row r="235" spans="1:254" ht="27" customHeight="1">
      <c r="A235" s="3">
        <v>232</v>
      </c>
      <c r="B235" s="12">
        <v>2.2000000000000002</v>
      </c>
      <c r="C235" s="12">
        <v>68</v>
      </c>
      <c r="D235" s="12">
        <f t="shared" si="3"/>
        <v>6.3580000000000012E-2</v>
      </c>
      <c r="E235" s="9" t="s">
        <v>224</v>
      </c>
      <c r="IT235"/>
    </row>
    <row r="236" spans="1:254" ht="27" customHeight="1">
      <c r="A236" s="3">
        <v>233</v>
      </c>
      <c r="B236" s="12">
        <v>2.2000000000000002</v>
      </c>
      <c r="C236" s="12">
        <v>68</v>
      </c>
      <c r="D236" s="12">
        <f t="shared" si="3"/>
        <v>6.3580000000000012E-2</v>
      </c>
      <c r="E236" s="9" t="s">
        <v>276</v>
      </c>
      <c r="IT236"/>
    </row>
    <row r="237" spans="1:254" ht="27" customHeight="1">
      <c r="A237" s="3">
        <v>234</v>
      </c>
      <c r="B237" s="12">
        <v>2.2000000000000002</v>
      </c>
      <c r="C237" s="12">
        <v>68</v>
      </c>
      <c r="D237" s="12">
        <f t="shared" si="3"/>
        <v>6.3580000000000012E-2</v>
      </c>
      <c r="E237" s="9" t="s">
        <v>110</v>
      </c>
      <c r="IT237"/>
    </row>
    <row r="238" spans="1:254" ht="27" customHeight="1">
      <c r="A238" s="3">
        <v>235</v>
      </c>
      <c r="B238" s="12">
        <v>2.2000000000000002</v>
      </c>
      <c r="C238" s="12">
        <v>68</v>
      </c>
      <c r="D238" s="12">
        <f t="shared" si="3"/>
        <v>6.3580000000000012E-2</v>
      </c>
      <c r="E238" s="9" t="s">
        <v>171</v>
      </c>
      <c r="IT238"/>
    </row>
    <row r="239" spans="1:254" ht="27" customHeight="1">
      <c r="A239" s="3">
        <v>236</v>
      </c>
      <c r="B239" s="12">
        <v>2.2000000000000002</v>
      </c>
      <c r="C239" s="12">
        <v>68</v>
      </c>
      <c r="D239" s="12">
        <f t="shared" si="3"/>
        <v>6.3580000000000012E-2</v>
      </c>
      <c r="E239" s="9" t="s">
        <v>183</v>
      </c>
      <c r="IT239"/>
    </row>
    <row r="240" spans="1:254" ht="27" customHeight="1">
      <c r="A240" s="3">
        <v>237</v>
      </c>
      <c r="B240" s="12">
        <v>2.2000000000000002</v>
      </c>
      <c r="C240" s="12">
        <v>68</v>
      </c>
      <c r="D240" s="12">
        <f t="shared" si="3"/>
        <v>6.3580000000000012E-2</v>
      </c>
      <c r="E240" s="9" t="s">
        <v>269</v>
      </c>
      <c r="IT240"/>
    </row>
    <row r="241" spans="1:254" ht="27" customHeight="1">
      <c r="A241" s="3">
        <v>238</v>
      </c>
      <c r="B241" s="12">
        <v>2.2000000000000002</v>
      </c>
      <c r="C241" s="12">
        <v>67</v>
      </c>
      <c r="D241" s="12">
        <f t="shared" si="3"/>
        <v>6.1723750000000008E-2</v>
      </c>
      <c r="E241" s="9" t="s">
        <v>274</v>
      </c>
      <c r="IT241"/>
    </row>
    <row r="242" spans="1:254" ht="27" customHeight="1">
      <c r="A242" s="3">
        <v>239</v>
      </c>
      <c r="B242" s="12">
        <v>2.2000000000000002</v>
      </c>
      <c r="C242" s="12">
        <v>67</v>
      </c>
      <c r="D242" s="12">
        <f t="shared" si="3"/>
        <v>6.1723750000000008E-2</v>
      </c>
      <c r="E242" s="9" t="s">
        <v>151</v>
      </c>
      <c r="IT242"/>
    </row>
    <row r="243" spans="1:254" ht="27" customHeight="1">
      <c r="A243" s="3">
        <v>240</v>
      </c>
      <c r="B243" s="12">
        <v>2.4500000000000002</v>
      </c>
      <c r="C243" s="12">
        <v>66</v>
      </c>
      <c r="D243" s="12">
        <f t="shared" si="3"/>
        <v>6.6701250000000004E-2</v>
      </c>
      <c r="E243" s="9" t="s">
        <v>21</v>
      </c>
      <c r="IT243"/>
    </row>
    <row r="244" spans="1:254" ht="27" customHeight="1">
      <c r="A244" s="3">
        <v>241</v>
      </c>
      <c r="B244" s="12">
        <v>2.2000000000000002</v>
      </c>
      <c r="C244" s="12">
        <v>66</v>
      </c>
      <c r="D244" s="12">
        <f t="shared" si="3"/>
        <v>5.9895000000000004E-2</v>
      </c>
      <c r="E244" s="9" t="s">
        <v>24</v>
      </c>
      <c r="IT244"/>
    </row>
    <row r="245" spans="1:254" ht="27" customHeight="1">
      <c r="A245" s="3">
        <v>242</v>
      </c>
      <c r="B245" s="12">
        <v>1.2</v>
      </c>
      <c r="C245" s="12">
        <v>66</v>
      </c>
      <c r="D245" s="12">
        <f t="shared" si="3"/>
        <v>3.2669999999999998E-2</v>
      </c>
      <c r="E245" s="9" t="s">
        <v>285</v>
      </c>
      <c r="IT245"/>
    </row>
    <row r="246" spans="1:254" ht="27" customHeight="1">
      <c r="A246" s="3">
        <v>243</v>
      </c>
      <c r="B246" s="12">
        <v>1.4</v>
      </c>
      <c r="C246" s="12">
        <v>66</v>
      </c>
      <c r="D246" s="12">
        <f t="shared" si="3"/>
        <v>3.8114999999999996E-2</v>
      </c>
      <c r="E246" s="9" t="s">
        <v>64</v>
      </c>
      <c r="IT246"/>
    </row>
    <row r="247" spans="1:254" ht="27" customHeight="1">
      <c r="A247" s="3">
        <v>244</v>
      </c>
      <c r="B247" s="12">
        <v>2.2000000000000002</v>
      </c>
      <c r="C247" s="12">
        <v>66</v>
      </c>
      <c r="D247" s="12">
        <f t="shared" si="3"/>
        <v>5.9895000000000004E-2</v>
      </c>
      <c r="E247" s="9" t="s">
        <v>93</v>
      </c>
      <c r="IT247"/>
    </row>
    <row r="248" spans="1:254" ht="27" customHeight="1">
      <c r="A248" s="3">
        <v>245</v>
      </c>
      <c r="B248" s="12">
        <v>2.2000000000000002</v>
      </c>
      <c r="C248" s="12">
        <v>66</v>
      </c>
      <c r="D248" s="12">
        <f t="shared" si="3"/>
        <v>5.9895000000000004E-2</v>
      </c>
      <c r="E248" s="9" t="s">
        <v>257</v>
      </c>
      <c r="IT248"/>
    </row>
    <row r="249" spans="1:254" ht="27" customHeight="1">
      <c r="A249" s="3">
        <v>246</v>
      </c>
      <c r="B249" s="12">
        <v>2.2000000000000002</v>
      </c>
      <c r="C249" s="12">
        <v>66</v>
      </c>
      <c r="D249" s="12">
        <f t="shared" si="3"/>
        <v>5.9895000000000004E-2</v>
      </c>
      <c r="E249" s="9" t="s">
        <v>111</v>
      </c>
      <c r="IT249"/>
    </row>
    <row r="250" spans="1:254" ht="27" customHeight="1">
      <c r="A250" s="3">
        <v>247</v>
      </c>
      <c r="B250" s="12">
        <v>1.45</v>
      </c>
      <c r="C250" s="12">
        <v>66</v>
      </c>
      <c r="D250" s="12">
        <f t="shared" si="3"/>
        <v>3.9476249999999997E-2</v>
      </c>
      <c r="E250" s="9" t="s">
        <v>277</v>
      </c>
      <c r="IT250"/>
    </row>
    <row r="251" spans="1:254" ht="27" customHeight="1">
      <c r="A251" s="3">
        <v>248</v>
      </c>
      <c r="B251" s="12">
        <v>2.75</v>
      </c>
      <c r="C251" s="12">
        <v>66</v>
      </c>
      <c r="D251" s="12">
        <f t="shared" si="3"/>
        <v>7.4868749999999998E-2</v>
      </c>
      <c r="E251" s="9" t="s">
        <v>168</v>
      </c>
      <c r="IT251"/>
    </row>
    <row r="252" spans="1:254" ht="27" customHeight="1">
      <c r="A252" s="3">
        <v>249</v>
      </c>
      <c r="B252" s="12">
        <v>2.75</v>
      </c>
      <c r="C252" s="12">
        <v>64</v>
      </c>
      <c r="D252" s="12">
        <f t="shared" si="3"/>
        <v>7.0400000000000004E-2</v>
      </c>
      <c r="E252" s="9" t="s">
        <v>57</v>
      </c>
      <c r="IT252"/>
    </row>
    <row r="253" spans="1:254" ht="27" customHeight="1">
      <c r="A253" s="3">
        <v>250</v>
      </c>
      <c r="B253" s="12">
        <v>1.2</v>
      </c>
      <c r="C253" s="12">
        <v>64</v>
      </c>
      <c r="D253" s="12">
        <f t="shared" si="3"/>
        <v>3.0719999999999997E-2</v>
      </c>
      <c r="E253" s="9" t="s">
        <v>256</v>
      </c>
      <c r="IT253"/>
    </row>
    <row r="254" spans="1:254" ht="27" customHeight="1">
      <c r="A254" s="3">
        <v>251</v>
      </c>
      <c r="B254" s="12">
        <v>2.4500000000000002</v>
      </c>
      <c r="C254" s="12">
        <v>63</v>
      </c>
      <c r="D254" s="12">
        <f t="shared" si="3"/>
        <v>6.0775312500000005E-2</v>
      </c>
      <c r="E254" s="9" t="s">
        <v>242</v>
      </c>
      <c r="IT254"/>
    </row>
    <row r="255" spans="1:254" ht="27" customHeight="1">
      <c r="A255" s="3">
        <v>252</v>
      </c>
      <c r="B255" s="12">
        <v>2.2000000000000002</v>
      </c>
      <c r="C255" s="12">
        <v>63</v>
      </c>
      <c r="D255" s="12">
        <f t="shared" si="3"/>
        <v>5.4573750000000004E-2</v>
      </c>
      <c r="E255" s="9" t="s">
        <v>244</v>
      </c>
      <c r="IT255"/>
    </row>
    <row r="256" spans="1:254" ht="27" customHeight="1">
      <c r="A256" s="3">
        <v>253</v>
      </c>
      <c r="B256" s="12">
        <v>1.2</v>
      </c>
      <c r="C256" s="12">
        <v>62</v>
      </c>
      <c r="D256" s="12">
        <f t="shared" si="3"/>
        <v>2.8829999999999995E-2</v>
      </c>
      <c r="E256" s="9" t="s">
        <v>226</v>
      </c>
      <c r="IT256"/>
    </row>
    <row r="257" spans="1:254" ht="27" customHeight="1">
      <c r="A257" s="3">
        <v>254</v>
      </c>
      <c r="B257" s="12">
        <v>2.4500000000000002</v>
      </c>
      <c r="C257" s="12">
        <v>62</v>
      </c>
      <c r="D257" s="12">
        <f t="shared" si="3"/>
        <v>5.8861250000000004E-2</v>
      </c>
      <c r="E257" s="9" t="s">
        <v>271</v>
      </c>
      <c r="IT257"/>
    </row>
    <row r="258" spans="1:254" ht="27" customHeight="1">
      <c r="A258" s="3">
        <v>255</v>
      </c>
      <c r="B258" s="12">
        <v>1.2</v>
      </c>
      <c r="C258" s="12">
        <v>62</v>
      </c>
      <c r="D258" s="12">
        <f t="shared" si="3"/>
        <v>2.8829999999999995E-2</v>
      </c>
      <c r="E258" s="9" t="s">
        <v>229</v>
      </c>
      <c r="IT258"/>
    </row>
    <row r="259" spans="1:254" ht="27" customHeight="1">
      <c r="A259" s="3">
        <v>256</v>
      </c>
      <c r="B259" s="12">
        <v>2.2000000000000002</v>
      </c>
      <c r="C259" s="12">
        <v>62</v>
      </c>
      <c r="D259" s="12">
        <f t="shared" si="3"/>
        <v>5.2855000000000006E-2</v>
      </c>
      <c r="E259" s="9" t="s">
        <v>118</v>
      </c>
      <c r="IT259"/>
    </row>
    <row r="260" spans="1:254" ht="27" customHeight="1">
      <c r="A260" s="3">
        <v>257</v>
      </c>
      <c r="B260" s="12">
        <v>2.2000000000000002</v>
      </c>
      <c r="C260" s="12">
        <v>62</v>
      </c>
      <c r="D260" s="12">
        <f t="shared" ref="D260:D323" si="4">B260*C260*C260/160000</f>
        <v>5.2855000000000006E-2</v>
      </c>
      <c r="E260" s="9" t="s">
        <v>152</v>
      </c>
      <c r="IT260"/>
    </row>
    <row r="261" spans="1:254" ht="27" customHeight="1">
      <c r="A261" s="3">
        <v>258</v>
      </c>
      <c r="B261" s="12">
        <v>2.4500000000000002</v>
      </c>
      <c r="C261" s="12">
        <v>62</v>
      </c>
      <c r="D261" s="12">
        <f t="shared" si="4"/>
        <v>5.8861250000000004E-2</v>
      </c>
      <c r="E261" s="9" t="s">
        <v>263</v>
      </c>
      <c r="IT261"/>
    </row>
    <row r="262" spans="1:254" ht="27" customHeight="1">
      <c r="A262" s="3">
        <v>259</v>
      </c>
      <c r="B262" s="12">
        <v>2.75</v>
      </c>
      <c r="C262" s="12">
        <v>62</v>
      </c>
      <c r="D262" s="12">
        <f t="shared" si="4"/>
        <v>6.6068749999999996E-2</v>
      </c>
      <c r="E262" s="9" t="s">
        <v>172</v>
      </c>
      <c r="IT262"/>
    </row>
    <row r="263" spans="1:254" ht="27" customHeight="1">
      <c r="A263" s="3">
        <v>260</v>
      </c>
      <c r="B263" s="12">
        <v>2.4500000000000002</v>
      </c>
      <c r="C263" s="12">
        <v>62</v>
      </c>
      <c r="D263" s="12">
        <f t="shared" si="4"/>
        <v>5.8861250000000004E-2</v>
      </c>
      <c r="E263" s="9" t="s">
        <v>180</v>
      </c>
      <c r="IT263"/>
    </row>
    <row r="264" spans="1:254" ht="27" customHeight="1">
      <c r="A264" s="3">
        <v>261</v>
      </c>
      <c r="B264" s="12">
        <v>2.4500000000000002</v>
      </c>
      <c r="C264" s="12">
        <v>61</v>
      </c>
      <c r="D264" s="12">
        <f t="shared" si="4"/>
        <v>5.6977812500000002E-2</v>
      </c>
      <c r="E264" s="9" t="s">
        <v>58</v>
      </c>
      <c r="IT264"/>
    </row>
    <row r="265" spans="1:254" ht="27" customHeight="1">
      <c r="A265" s="3">
        <v>262</v>
      </c>
      <c r="B265" s="12">
        <v>1.45</v>
      </c>
      <c r="C265" s="12">
        <v>61</v>
      </c>
      <c r="D265" s="12">
        <f t="shared" si="4"/>
        <v>3.3721562499999996E-2</v>
      </c>
      <c r="E265" s="9" t="s">
        <v>243</v>
      </c>
      <c r="IT265"/>
    </row>
    <row r="266" spans="1:254" ht="27" customHeight="1">
      <c r="A266" s="3">
        <v>263</v>
      </c>
      <c r="B266" s="12">
        <v>2.6</v>
      </c>
      <c r="C266" s="12">
        <v>61</v>
      </c>
      <c r="D266" s="12">
        <f t="shared" si="4"/>
        <v>6.0466249999999999E-2</v>
      </c>
      <c r="E266" s="9" t="s">
        <v>169</v>
      </c>
      <c r="IT266"/>
    </row>
    <row r="267" spans="1:254" ht="27" customHeight="1">
      <c r="A267" s="3">
        <v>264</v>
      </c>
      <c r="B267" s="12">
        <v>2.2000000000000002</v>
      </c>
      <c r="C267" s="12">
        <v>61</v>
      </c>
      <c r="D267" s="12">
        <f t="shared" si="4"/>
        <v>5.1163750000000008E-2</v>
      </c>
      <c r="E267" s="9" t="s">
        <v>266</v>
      </c>
      <c r="IT267"/>
    </row>
    <row r="268" spans="1:254" ht="27" customHeight="1">
      <c r="A268" s="3">
        <v>265</v>
      </c>
      <c r="B268" s="12">
        <v>1.45</v>
      </c>
      <c r="C268" s="12">
        <v>60</v>
      </c>
      <c r="D268" s="12">
        <f t="shared" si="4"/>
        <v>3.2625000000000001E-2</v>
      </c>
      <c r="E268" s="9" t="s">
        <v>275</v>
      </c>
      <c r="IT268"/>
    </row>
    <row r="269" spans="1:254" ht="27" customHeight="1">
      <c r="A269" s="3">
        <v>266</v>
      </c>
      <c r="B269" s="12">
        <v>1.6</v>
      </c>
      <c r="C269" s="12">
        <v>60</v>
      </c>
      <c r="D269" s="12">
        <f t="shared" si="4"/>
        <v>3.5999999999999997E-2</v>
      </c>
      <c r="E269" s="9" t="s">
        <v>218</v>
      </c>
      <c r="IT269"/>
    </row>
    <row r="270" spans="1:254" ht="27" customHeight="1">
      <c r="A270" s="3">
        <v>267</v>
      </c>
      <c r="B270" s="12">
        <v>2.2000000000000002</v>
      </c>
      <c r="C270" s="12">
        <v>60</v>
      </c>
      <c r="D270" s="12">
        <f t="shared" si="4"/>
        <v>4.9500000000000002E-2</v>
      </c>
      <c r="E270" s="9" t="s">
        <v>264</v>
      </c>
      <c r="IT270"/>
    </row>
    <row r="271" spans="1:254" ht="27" customHeight="1">
      <c r="A271" s="3">
        <v>268</v>
      </c>
      <c r="B271" s="12">
        <v>1.2</v>
      </c>
      <c r="C271" s="12">
        <v>60</v>
      </c>
      <c r="D271" s="12">
        <f t="shared" si="4"/>
        <v>2.7E-2</v>
      </c>
      <c r="E271" s="9" t="s">
        <v>273</v>
      </c>
      <c r="IT271"/>
    </row>
    <row r="272" spans="1:254" ht="27" customHeight="1">
      <c r="A272" s="3">
        <v>269</v>
      </c>
      <c r="B272" s="12">
        <v>1.2</v>
      </c>
      <c r="C272" s="12">
        <v>60</v>
      </c>
      <c r="D272" s="12">
        <f t="shared" si="4"/>
        <v>2.7E-2</v>
      </c>
      <c r="E272" s="9" t="s">
        <v>267</v>
      </c>
      <c r="IT272"/>
    </row>
    <row r="273" spans="1:254" ht="27" customHeight="1">
      <c r="A273" s="3">
        <v>270</v>
      </c>
      <c r="B273" s="12">
        <v>2.75</v>
      </c>
      <c r="C273" s="12">
        <v>57</v>
      </c>
      <c r="D273" s="12">
        <f t="shared" si="4"/>
        <v>5.5842187500000001E-2</v>
      </c>
      <c r="E273" s="9" t="s">
        <v>253</v>
      </c>
      <c r="IT273"/>
    </row>
    <row r="274" spans="1:254" ht="27" customHeight="1">
      <c r="A274" s="3">
        <v>271</v>
      </c>
      <c r="B274" s="12">
        <v>2.2000000000000002</v>
      </c>
      <c r="C274" s="12">
        <v>57</v>
      </c>
      <c r="D274" s="12">
        <f t="shared" si="4"/>
        <v>4.4673749999999998E-2</v>
      </c>
      <c r="E274" s="9" t="s">
        <v>288</v>
      </c>
      <c r="IT274"/>
    </row>
    <row r="275" spans="1:254" ht="27" customHeight="1">
      <c r="A275" s="3">
        <v>272</v>
      </c>
      <c r="B275" s="12">
        <v>2.4500000000000002</v>
      </c>
      <c r="C275" s="12">
        <v>57</v>
      </c>
      <c r="D275" s="12">
        <f t="shared" si="4"/>
        <v>4.9750312500000005E-2</v>
      </c>
      <c r="E275" s="9" t="s">
        <v>240</v>
      </c>
      <c r="IT275"/>
    </row>
    <row r="276" spans="1:254" ht="27" customHeight="1">
      <c r="A276" s="3">
        <v>273</v>
      </c>
      <c r="B276" s="12">
        <v>2.75</v>
      </c>
      <c r="C276" s="12">
        <v>57</v>
      </c>
      <c r="D276" s="12">
        <f t="shared" si="4"/>
        <v>5.5842187500000001E-2</v>
      </c>
      <c r="E276" s="9" t="s">
        <v>173</v>
      </c>
      <c r="IT276"/>
    </row>
    <row r="277" spans="1:254" ht="27" customHeight="1">
      <c r="A277" s="3">
        <v>274</v>
      </c>
      <c r="B277" s="12">
        <v>1.45</v>
      </c>
      <c r="C277" s="12">
        <v>56</v>
      </c>
      <c r="D277" s="12">
        <f t="shared" si="4"/>
        <v>2.8419999999999997E-2</v>
      </c>
      <c r="E277" s="9" t="s">
        <v>282</v>
      </c>
      <c r="IT277"/>
    </row>
    <row r="278" spans="1:254" ht="27" customHeight="1">
      <c r="A278" s="3">
        <v>275</v>
      </c>
      <c r="B278" s="12">
        <v>1.45</v>
      </c>
      <c r="C278" s="12">
        <v>55</v>
      </c>
      <c r="D278" s="12">
        <f t="shared" si="4"/>
        <v>2.7414062499999999E-2</v>
      </c>
      <c r="E278" s="9" t="s">
        <v>258</v>
      </c>
      <c r="IT278"/>
    </row>
    <row r="279" spans="1:254" ht="27" customHeight="1">
      <c r="A279" s="3" t="s">
        <v>4</v>
      </c>
      <c r="B279" s="3"/>
      <c r="C279" s="3" t="s">
        <v>5</v>
      </c>
      <c r="D279" s="3" t="s">
        <v>6</v>
      </c>
      <c r="IT279"/>
    </row>
    <row r="280" spans="1:254" ht="27" customHeight="1">
      <c r="A280" s="4">
        <f>COUNT(A4:A278)</f>
        <v>275</v>
      </c>
      <c r="B280" s="4">
        <f>AVERAGE(B4:B278)</f>
        <v>2.1921818181818189</v>
      </c>
      <c r="C280" s="4">
        <f>AVERAGE(C4:C278)</f>
        <v>85.378181818181815</v>
      </c>
      <c r="D280" s="4">
        <f>SUM(D4:D278)</f>
        <v>28.865049062500042</v>
      </c>
      <c r="IT280"/>
    </row>
    <row r="282" spans="1:254" ht="26.1" customHeight="1">
      <c r="A282" s="8" t="s">
        <v>9</v>
      </c>
      <c r="B282" s="8">
        <f>MAX(B4:B278)</f>
        <v>2.75</v>
      </c>
      <c r="C282" s="8">
        <f>MAX(C4:C278)</f>
        <v>148</v>
      </c>
      <c r="D282" s="8">
        <f>MAX(D4:D278)</f>
        <v>0.30946499999999999</v>
      </c>
    </row>
    <row r="283" spans="1:254" ht="26.1" customHeight="1">
      <c r="A283" s="8" t="s">
        <v>10</v>
      </c>
      <c r="B283" s="8">
        <f>MIN(B4:B278)</f>
        <v>1.2</v>
      </c>
      <c r="C283" s="8">
        <f>MIN(C4:C278)</f>
        <v>55</v>
      </c>
      <c r="D283" s="8">
        <f>MIN(D4:D278)</f>
        <v>2.7E-2</v>
      </c>
    </row>
  </sheetData>
  <sortState xmlns:xlrd2="http://schemas.microsoft.com/office/spreadsheetml/2017/richdata2" ref="B4:E278">
    <sortCondition descending="1" ref="C4:C278"/>
  </sortState>
  <mergeCells count="2">
    <mergeCell ref="A1:E1"/>
    <mergeCell ref="B2:D2"/>
  </mergeCells>
  <conditionalFormatting sqref="B4:B278">
    <cfRule type="cellIs" dxfId="3" priority="3" operator="lessThan">
      <formula>1.2</formula>
    </cfRule>
    <cfRule type="cellIs" dxfId="2" priority="4" stopIfTrue="1" operator="greaterThan">
      <formula>2.85</formula>
    </cfRule>
  </conditionalFormatting>
  <conditionalFormatting sqref="C4:C278">
    <cfRule type="cellIs" dxfId="1" priority="1" operator="lessThan">
      <formula>45</formula>
    </cfRule>
    <cfRule type="cellIs" dxfId="0" priority="2" operator="greaterThan">
      <formula>150</formula>
    </cfRule>
  </conditionalFormatting>
  <pageMargins left="0.75" right="0.75" top="1" bottom="1" header="0.5" footer="0.5"/>
  <pageSetup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Etalage du 12-05-2026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</cp:lastModifiedBy>
  <dcterms:created xsi:type="dcterms:W3CDTF">2017-03-22T07:36:07Z</dcterms:created>
  <dcterms:modified xsi:type="dcterms:W3CDTF">2026-05-18T14:32:00Z</dcterms:modified>
</cp:coreProperties>
</file>