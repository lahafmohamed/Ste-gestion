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8A792D05-3C84-47FB-9812-DC04BA8192B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talage du 12-05-2026 B" sheetId="2154" r:id="rId1"/>
  </sheets>
  <calcPr calcId="191029"/>
</workbook>
</file>

<file path=xl/calcChain.xml><?xml version="1.0" encoding="utf-8"?>
<calcChain xmlns="http://schemas.openxmlformats.org/spreadsheetml/2006/main">
  <c r="C67" i="2154" l="1"/>
  <c r="B67" i="2154"/>
  <c r="C66" i="2154"/>
  <c r="B66" i="2154"/>
  <c r="C64" i="2154"/>
  <c r="B64" i="2154"/>
  <c r="A64" i="2154"/>
  <c r="D62" i="2154"/>
  <c r="E62" i="2154" s="1"/>
  <c r="D61" i="2154"/>
  <c r="E61" i="2154" s="1"/>
  <c r="D60" i="2154"/>
  <c r="E60" i="2154" s="1"/>
  <c r="D59" i="2154"/>
  <c r="E59" i="2154" s="1"/>
  <c r="D58" i="2154"/>
  <c r="E58" i="2154" s="1"/>
  <c r="D57" i="2154"/>
  <c r="E57" i="2154" s="1"/>
  <c r="D56" i="2154"/>
  <c r="E56" i="2154" s="1"/>
  <c r="D55" i="2154"/>
  <c r="E55" i="2154" s="1"/>
  <c r="D54" i="2154"/>
  <c r="E54" i="2154" s="1"/>
  <c r="D53" i="2154"/>
  <c r="E53" i="2154" s="1"/>
  <c r="D52" i="2154"/>
  <c r="E52" i="2154" s="1"/>
  <c r="D51" i="2154"/>
  <c r="E51" i="2154" s="1"/>
  <c r="D50" i="2154"/>
  <c r="E50" i="2154" s="1"/>
  <c r="D49" i="2154"/>
  <c r="E49" i="2154" s="1"/>
  <c r="D48" i="2154"/>
  <c r="E48" i="2154" s="1"/>
  <c r="D47" i="2154"/>
  <c r="E47" i="2154" s="1"/>
  <c r="D46" i="2154"/>
  <c r="E46" i="2154" s="1"/>
  <c r="D45" i="2154"/>
  <c r="E45" i="2154" s="1"/>
  <c r="D44" i="2154"/>
  <c r="E44" i="2154" s="1"/>
  <c r="D43" i="2154"/>
  <c r="E43" i="2154" s="1"/>
  <c r="D42" i="2154"/>
  <c r="E42" i="2154" s="1"/>
  <c r="D41" i="2154"/>
  <c r="E41" i="2154" s="1"/>
  <c r="D40" i="2154"/>
  <c r="E40" i="2154" s="1"/>
  <c r="D39" i="2154"/>
  <c r="E39" i="2154" s="1"/>
  <c r="D38" i="2154"/>
  <c r="E38" i="2154" s="1"/>
  <c r="D37" i="2154"/>
  <c r="E37" i="2154" s="1"/>
  <c r="D36" i="2154"/>
  <c r="E36" i="2154" s="1"/>
  <c r="D35" i="2154"/>
  <c r="E35" i="2154" s="1"/>
  <c r="D34" i="2154"/>
  <c r="E34" i="2154" s="1"/>
  <c r="D33" i="2154"/>
  <c r="E33" i="2154" s="1"/>
  <c r="D32" i="2154"/>
  <c r="E32" i="2154" s="1"/>
  <c r="D31" i="2154"/>
  <c r="E31" i="2154" s="1"/>
  <c r="D30" i="2154"/>
  <c r="E30" i="2154" s="1"/>
  <c r="D29" i="2154"/>
  <c r="E29" i="2154" s="1"/>
  <c r="D28" i="2154"/>
  <c r="E28" i="2154" s="1"/>
  <c r="D27" i="2154"/>
  <c r="E27" i="2154" s="1"/>
  <c r="D26" i="2154"/>
  <c r="E26" i="2154" s="1"/>
  <c r="D25" i="2154"/>
  <c r="E25" i="2154" s="1"/>
  <c r="D24" i="2154"/>
  <c r="E24" i="2154" s="1"/>
  <c r="D23" i="2154"/>
  <c r="E23" i="2154" s="1"/>
  <c r="D22" i="2154"/>
  <c r="E22" i="2154" s="1"/>
  <c r="D21" i="2154"/>
  <c r="E21" i="2154" s="1"/>
  <c r="D20" i="2154"/>
  <c r="E20" i="2154" s="1"/>
  <c r="D19" i="2154"/>
  <c r="E19" i="2154" s="1"/>
  <c r="D18" i="2154"/>
  <c r="E18" i="2154" s="1"/>
  <c r="D17" i="2154"/>
  <c r="E17" i="2154" s="1"/>
  <c r="D16" i="2154"/>
  <c r="E16" i="2154" s="1"/>
  <c r="D15" i="2154"/>
  <c r="E15" i="2154" s="1"/>
  <c r="D14" i="2154"/>
  <c r="E14" i="2154" s="1"/>
  <c r="D13" i="2154"/>
  <c r="E13" i="2154" s="1"/>
  <c r="D12" i="2154"/>
  <c r="E12" i="2154" s="1"/>
  <c r="D11" i="2154"/>
  <c r="E11" i="2154" s="1"/>
  <c r="D10" i="2154"/>
  <c r="E10" i="2154" s="1"/>
  <c r="D9" i="2154"/>
  <c r="E9" i="2154" s="1"/>
  <c r="D8" i="2154"/>
  <c r="E8" i="2154" s="1"/>
  <c r="D7" i="2154"/>
  <c r="E7" i="2154" s="1"/>
  <c r="D6" i="2154"/>
  <c r="E6" i="2154" s="1"/>
  <c r="D5" i="2154"/>
  <c r="E5" i="2154" s="1"/>
  <c r="D4" i="2154"/>
  <c r="E4" i="2154" s="1"/>
  <c r="D3" i="2154"/>
  <c r="E3" i="2154" s="1"/>
  <c r="E64" i="2154" l="1"/>
  <c r="D67" i="2154"/>
  <c r="D64" i="2154"/>
  <c r="I7" i="2154" s="1"/>
  <c r="D66" i="2154"/>
</calcChain>
</file>

<file path=xl/sharedStrings.xml><?xml version="1.0" encoding="utf-8"?>
<sst xmlns="http://schemas.openxmlformats.org/spreadsheetml/2006/main" count="19" uniqueCount="18">
  <si>
    <t>Log#</t>
  </si>
  <si>
    <t>Length</t>
  </si>
  <si>
    <t>Dia</t>
  </si>
  <si>
    <t>Volume</t>
  </si>
  <si>
    <t>CFT</t>
  </si>
  <si>
    <t>Total</t>
  </si>
  <si>
    <t>Average</t>
  </si>
  <si>
    <t>CBM</t>
  </si>
  <si>
    <t>N° BILL</t>
  </si>
  <si>
    <t>MAX</t>
  </si>
  <si>
    <t>MIN</t>
  </si>
  <si>
    <t xml:space="preserve">VOL-DIA = </t>
  </si>
  <si>
    <t>CAMION 3201 GS 01</t>
  </si>
  <si>
    <t>SANGOUE</t>
  </si>
  <si>
    <t>A3-2026-014</t>
  </si>
  <si>
    <t>PARCELLE 146-99/04</t>
  </si>
  <si>
    <r>
      <t>CUB BROUSSE : 33,171 m</t>
    </r>
    <r>
      <rPr>
        <sz val="15"/>
        <color indexed="8"/>
        <rFont val="High Tower Text"/>
        <family val="1"/>
      </rPr>
      <t>³</t>
    </r>
  </si>
  <si>
    <t>B/L : 176530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</si>
</sst>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indexed="8"/>
      <name val="Verdana"/>
    </font>
    <font>
      <sz val="15"/>
      <color indexed="8"/>
      <name val="Helvetica"/>
    </font>
    <font>
      <b/>
      <sz val="18"/>
      <color indexed="9"/>
      <name val="Helvetica Neue"/>
    </font>
    <font>
      <b/>
      <sz val="14"/>
      <color indexed="10"/>
      <name val="Helvetica"/>
    </font>
    <font>
      <b/>
      <sz val="15"/>
      <color indexed="10"/>
      <name val="Helvetica"/>
    </font>
    <font>
      <sz val="15"/>
      <color indexed="8"/>
      <name val="High Tower Text"/>
      <family val="1"/>
    </font>
    <font>
      <b/>
      <sz val="15"/>
      <color indexed="8"/>
      <name val="Helvetica"/>
    </font>
    <font>
      <b/>
      <sz val="14"/>
      <color indexed="8"/>
      <name val="Helvetica"/>
      <scheme val="minor"/>
    </font>
    <font>
      <b/>
      <sz val="16"/>
      <color indexed="8"/>
      <name val="Helvetica"/>
    </font>
    <font>
      <b/>
      <sz val="18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18">
    <xf numFmtId="0" fontId="0" fillId="0" borderId="0" xfId="0">
      <alignment vertical="top"/>
    </xf>
    <xf numFmtId="0" fontId="1" fillId="0" borderId="0" xfId="0" applyNumberFormat="1" applyFont="1">
      <alignment vertical="top"/>
    </xf>
    <xf numFmtId="0" fontId="3" fillId="2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>
      <alignment vertical="top"/>
    </xf>
    <xf numFmtId="0" fontId="4" fillId="4" borderId="1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>
      <alignment vertical="top"/>
    </xf>
    <xf numFmtId="0" fontId="4" fillId="2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20" fontId="1" fillId="0" borderId="0" xfId="0" applyNumberFormat="1" applyFont="1">
      <alignment vertical="top"/>
    </xf>
    <xf numFmtId="0" fontId="1" fillId="0" borderId="2" xfId="0" applyNumberFormat="1" applyFont="1" applyBorder="1">
      <alignment vertical="top"/>
    </xf>
    <xf numFmtId="0" fontId="6" fillId="0" borderId="0" xfId="0" applyNumberFormat="1" applyFont="1">
      <alignment vertical="top"/>
    </xf>
    <xf numFmtId="0" fontId="7" fillId="0" borderId="0" xfId="0" applyNumberFormat="1" applyFont="1">
      <alignment vertical="top"/>
    </xf>
    <xf numFmtId="49" fontId="9" fillId="0" borderId="0" xfId="0" applyNumberFormat="1" applyFont="1">
      <alignment vertical="top"/>
    </xf>
    <xf numFmtId="0" fontId="8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>
      <alignment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C6C6C"/>
      <rgbColor rgb="FFFEFFFE"/>
      <rgbColor rgb="FF228ED7"/>
      <rgbColor rgb="FFB1B1B1"/>
      <rgbColor rgb="FFFF0F1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FFFFFF"/>
      </a:dk1>
      <a:lt1>
        <a:srgbClr val="668E52"/>
      </a:lt1>
      <a:dk2>
        <a:srgbClr val="313131"/>
      </a:dk2>
      <a:lt2>
        <a:srgbClr val="B2B2B2"/>
      </a:lt2>
      <a:accent1>
        <a:srgbClr val="570D72"/>
      </a:accent1>
      <a:accent2>
        <a:srgbClr val="228FD7"/>
      </a:accent2>
      <a:accent3>
        <a:srgbClr val="5EB82B"/>
      </a:accent3>
      <a:accent4>
        <a:srgbClr val="FF0F1B"/>
      </a:accent4>
      <a:accent5>
        <a:srgbClr val="FF992E"/>
      </a:accent5>
      <a:accent6>
        <a:srgbClr val="EDC926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63500" dir="5400000" rotWithShape="0">
              <a:srgbClr val="000000">
                <a:alpha val="45000"/>
              </a:srgbClr>
            </a:outerShdw>
          </a:effectLst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68A22F"/>
        </a:solidFill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1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400" b="0" i="0" u="none" strike="noStrike" cap="none" spc="0" normalizeH="0" baseline="0">
            <a:ln>
              <a:noFill/>
            </a:ln>
            <a:solidFill>
              <a:srgbClr val="37484C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F5B9-6B82-4D2F-B300-B52588925A6B}">
  <sheetPr>
    <pageSetUpPr fitToPage="1"/>
  </sheetPr>
  <dimension ref="A1:IW67"/>
  <sheetViews>
    <sheetView showGridLines="0" tabSelected="1" zoomScale="78" zoomScaleNormal="78" workbookViewId="0">
      <pane xSplit="1" ySplit="2" topLeftCell="B3" activePane="bottomRight" state="frozenSplit"/>
      <selection activeCell="H18" sqref="H18"/>
      <selection pane="topRight" activeCell="H18" sqref="H18"/>
      <selection pane="bottomLeft" activeCell="H18" sqref="H18"/>
      <selection pane="bottomRight" activeCell="H17" sqref="H17"/>
    </sheetView>
  </sheetViews>
  <sheetFormatPr baseColWidth="10" defaultColWidth="9.5" defaultRowHeight="26.1" customHeight="1"/>
  <cols>
    <col min="1" max="7" width="9.5" style="1" customWidth="1"/>
    <col min="8" max="8" width="10.09765625" style="1" customWidth="1"/>
    <col min="9" max="257" width="9.5" style="1" customWidth="1"/>
  </cols>
  <sheetData>
    <row r="1" spans="1:11" ht="23.25">
      <c r="A1" s="16" t="s">
        <v>12</v>
      </c>
      <c r="B1" s="17"/>
      <c r="C1" s="17"/>
      <c r="D1" s="17"/>
      <c r="E1" s="17"/>
      <c r="F1"/>
    </row>
    <row r="2" spans="1:11" ht="26.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8</v>
      </c>
    </row>
    <row r="3" spans="1:11" ht="27" customHeight="1">
      <c r="A3" s="3">
        <v>1</v>
      </c>
      <c r="B3" s="4">
        <v>13</v>
      </c>
      <c r="C3" s="4">
        <v>26</v>
      </c>
      <c r="D3" s="4">
        <f t="shared" ref="D3:D62" si="0">B3*C3*C3*0.00007854</f>
        <v>0.69020952000000002</v>
      </c>
      <c r="E3" s="4">
        <f t="shared" ref="E3:E62" si="1">D3*35.3</f>
        <v>24.364396056</v>
      </c>
      <c r="F3" s="7">
        <v>266</v>
      </c>
    </row>
    <row r="4" spans="1:11" ht="27" customHeight="1">
      <c r="A4" s="3">
        <v>2</v>
      </c>
      <c r="B4" s="4">
        <v>7.6</v>
      </c>
      <c r="C4" s="4">
        <v>26</v>
      </c>
      <c r="D4" s="4">
        <f t="shared" si="0"/>
        <v>0.40350710399999995</v>
      </c>
      <c r="E4" s="4">
        <f t="shared" si="1"/>
        <v>14.243800771199997</v>
      </c>
      <c r="F4" s="7">
        <v>267</v>
      </c>
      <c r="H4" s="1" t="s">
        <v>16</v>
      </c>
    </row>
    <row r="5" spans="1:11" ht="27" customHeight="1">
      <c r="A5" s="3">
        <v>3</v>
      </c>
      <c r="B5" s="4">
        <v>10.4</v>
      </c>
      <c r="C5" s="4">
        <v>21</v>
      </c>
      <c r="D5" s="4">
        <f t="shared" si="0"/>
        <v>0.36021585600000006</v>
      </c>
      <c r="E5" s="4">
        <f t="shared" si="1"/>
        <v>12.715619716800001</v>
      </c>
      <c r="F5" s="7">
        <v>268</v>
      </c>
      <c r="H5" s="1" t="s">
        <v>17</v>
      </c>
    </row>
    <row r="6" spans="1:11" ht="27" customHeight="1">
      <c r="A6" s="3">
        <v>4</v>
      </c>
      <c r="B6" s="4">
        <v>8.1999999999999993</v>
      </c>
      <c r="C6" s="4">
        <v>20</v>
      </c>
      <c r="D6" s="4">
        <f t="shared" si="0"/>
        <v>0.25761119999999998</v>
      </c>
      <c r="E6" s="4">
        <f t="shared" si="1"/>
        <v>9.0936753599999989</v>
      </c>
      <c r="F6" s="7">
        <v>269</v>
      </c>
    </row>
    <row r="7" spans="1:11" ht="27" customHeight="1">
      <c r="A7" s="3">
        <v>5</v>
      </c>
      <c r="B7" s="4">
        <v>11.5</v>
      </c>
      <c r="C7" s="4">
        <v>22</v>
      </c>
      <c r="D7" s="4">
        <f t="shared" si="0"/>
        <v>0.43715364000000001</v>
      </c>
      <c r="E7" s="4">
        <f t="shared" si="1"/>
        <v>15.431523491999998</v>
      </c>
      <c r="F7" s="7">
        <v>270</v>
      </c>
      <c r="H7" s="1" t="s">
        <v>11</v>
      </c>
      <c r="I7" s="1">
        <f>D64</f>
        <v>27.293883078000011</v>
      </c>
      <c r="J7" s="15"/>
      <c r="K7" s="14"/>
    </row>
    <row r="8" spans="1:11" ht="27" customHeight="1">
      <c r="A8" s="3">
        <v>6</v>
      </c>
      <c r="B8" s="4">
        <v>8.1</v>
      </c>
      <c r="C8" s="4">
        <v>22</v>
      </c>
      <c r="D8" s="4">
        <f t="shared" si="0"/>
        <v>0.30790821600000001</v>
      </c>
      <c r="E8" s="4">
        <f t="shared" si="1"/>
        <v>10.869160024799999</v>
      </c>
      <c r="F8" s="7">
        <v>271</v>
      </c>
      <c r="H8" s="10"/>
    </row>
    <row r="9" spans="1:11" ht="27" customHeight="1">
      <c r="A9" s="3">
        <v>7</v>
      </c>
      <c r="B9" s="4">
        <v>13.2</v>
      </c>
      <c r="C9" s="4">
        <v>24</v>
      </c>
      <c r="D9" s="4">
        <f t="shared" si="0"/>
        <v>0.59715532799999993</v>
      </c>
      <c r="E9" s="4">
        <f t="shared" si="1"/>
        <v>21.079583078399995</v>
      </c>
      <c r="F9" s="7">
        <v>272</v>
      </c>
    </row>
    <row r="10" spans="1:11" ht="27" customHeight="1">
      <c r="A10" s="3">
        <v>8</v>
      </c>
      <c r="B10" s="4">
        <v>10.7</v>
      </c>
      <c r="C10" s="4">
        <v>26</v>
      </c>
      <c r="D10" s="4">
        <f t="shared" si="0"/>
        <v>0.56809552799999996</v>
      </c>
      <c r="E10" s="4">
        <f t="shared" si="1"/>
        <v>20.053772138399996</v>
      </c>
      <c r="F10" s="7">
        <v>273</v>
      </c>
    </row>
    <row r="11" spans="1:11" ht="27" customHeight="1">
      <c r="A11" s="3">
        <v>9</v>
      </c>
      <c r="B11" s="4">
        <v>15</v>
      </c>
      <c r="C11" s="4">
        <v>25</v>
      </c>
      <c r="D11" s="4">
        <f t="shared" si="0"/>
        <v>0.73631250000000004</v>
      </c>
      <c r="E11" s="4">
        <f t="shared" si="1"/>
        <v>25.991831250000001</v>
      </c>
      <c r="F11" s="7">
        <v>274</v>
      </c>
    </row>
    <row r="12" spans="1:11" ht="27" customHeight="1">
      <c r="A12" s="3">
        <v>10</v>
      </c>
      <c r="B12" s="4">
        <v>12.1</v>
      </c>
      <c r="C12" s="4">
        <v>23</v>
      </c>
      <c r="D12" s="4">
        <f t="shared" si="0"/>
        <v>0.50272668600000003</v>
      </c>
      <c r="E12" s="4">
        <f t="shared" si="1"/>
        <v>17.7462520158</v>
      </c>
      <c r="F12" s="7">
        <v>275</v>
      </c>
      <c r="H12" s="13" t="s">
        <v>13</v>
      </c>
    </row>
    <row r="13" spans="1:11" ht="27" customHeight="1">
      <c r="A13" s="3">
        <v>11</v>
      </c>
      <c r="B13" s="4">
        <v>10.9</v>
      </c>
      <c r="C13" s="4">
        <v>26</v>
      </c>
      <c r="D13" s="4">
        <f t="shared" si="0"/>
        <v>0.5787141360000001</v>
      </c>
      <c r="E13" s="4">
        <f t="shared" si="1"/>
        <v>20.428609000800002</v>
      </c>
      <c r="F13" s="7">
        <v>276</v>
      </c>
    </row>
    <row r="14" spans="1:11" ht="27" customHeight="1">
      <c r="A14" s="3">
        <v>12</v>
      </c>
      <c r="B14" s="4">
        <v>9</v>
      </c>
      <c r="C14" s="4">
        <v>25</v>
      </c>
      <c r="D14" s="4">
        <f t="shared" si="0"/>
        <v>0.4417875</v>
      </c>
      <c r="E14" s="4">
        <f t="shared" si="1"/>
        <v>15.595098749999998</v>
      </c>
      <c r="F14" s="7">
        <v>277</v>
      </c>
      <c r="H14" s="13" t="s">
        <v>14</v>
      </c>
    </row>
    <row r="15" spans="1:11" ht="27" customHeight="1">
      <c r="A15" s="3">
        <v>13</v>
      </c>
      <c r="B15" s="4">
        <v>10</v>
      </c>
      <c r="C15" s="4">
        <v>19</v>
      </c>
      <c r="D15" s="4">
        <f t="shared" si="0"/>
        <v>0.28352939999999999</v>
      </c>
      <c r="E15" s="4">
        <f t="shared" si="1"/>
        <v>10.008587819999999</v>
      </c>
      <c r="F15" s="7">
        <v>278</v>
      </c>
      <c r="H15" s="12"/>
    </row>
    <row r="16" spans="1:11" ht="27" customHeight="1">
      <c r="A16" s="3">
        <v>14</v>
      </c>
      <c r="B16" s="4">
        <v>10.9</v>
      </c>
      <c r="C16" s="4">
        <v>35</v>
      </c>
      <c r="D16" s="4">
        <f t="shared" si="0"/>
        <v>1.0487053500000001</v>
      </c>
      <c r="E16" s="4">
        <f t="shared" si="1"/>
        <v>37.019298855000002</v>
      </c>
      <c r="F16" s="7">
        <v>279</v>
      </c>
      <c r="H16" s="13" t="s">
        <v>15</v>
      </c>
    </row>
    <row r="17" spans="1:6" ht="27" customHeight="1">
      <c r="A17" s="3">
        <v>15</v>
      </c>
      <c r="B17" s="4">
        <v>10.1</v>
      </c>
      <c r="C17" s="4">
        <v>18</v>
      </c>
      <c r="D17" s="4">
        <f t="shared" si="0"/>
        <v>0.25701429599999998</v>
      </c>
      <c r="E17" s="4">
        <f t="shared" si="1"/>
        <v>9.0726046487999987</v>
      </c>
      <c r="F17" s="7">
        <v>280</v>
      </c>
    </row>
    <row r="18" spans="1:6" ht="27" customHeight="1">
      <c r="A18" s="3">
        <v>16</v>
      </c>
      <c r="B18" s="4">
        <v>9.3000000000000007</v>
      </c>
      <c r="C18" s="4">
        <v>25</v>
      </c>
      <c r="D18" s="4">
        <f t="shared" si="0"/>
        <v>0.45651375000000011</v>
      </c>
      <c r="E18" s="4">
        <f t="shared" si="1"/>
        <v>16.114935375000002</v>
      </c>
      <c r="F18" s="7">
        <v>281</v>
      </c>
    </row>
    <row r="19" spans="1:6" ht="27" customHeight="1">
      <c r="A19" s="3">
        <v>17</v>
      </c>
      <c r="B19" s="4">
        <v>10.199999999999999</v>
      </c>
      <c r="C19" s="4">
        <v>24</v>
      </c>
      <c r="D19" s="4">
        <f t="shared" si="0"/>
        <v>0.46143820800000002</v>
      </c>
      <c r="E19" s="4">
        <f t="shared" si="1"/>
        <v>16.288768742399999</v>
      </c>
      <c r="F19" s="7">
        <v>282</v>
      </c>
    </row>
    <row r="20" spans="1:6" ht="27" customHeight="1">
      <c r="A20" s="3">
        <v>18</v>
      </c>
      <c r="B20" s="4">
        <v>11.9</v>
      </c>
      <c r="C20" s="4">
        <v>33</v>
      </c>
      <c r="D20" s="4">
        <f t="shared" si="0"/>
        <v>1.0178077140000001</v>
      </c>
      <c r="E20" s="4">
        <f t="shared" si="1"/>
        <v>35.928612304200001</v>
      </c>
      <c r="F20" s="7">
        <v>283</v>
      </c>
    </row>
    <row r="21" spans="1:6" ht="27" customHeight="1">
      <c r="A21" s="3">
        <v>19</v>
      </c>
      <c r="B21" s="4">
        <v>13.3</v>
      </c>
      <c r="C21" s="4">
        <v>24</v>
      </c>
      <c r="D21" s="4">
        <f t="shared" si="0"/>
        <v>0.60167923200000006</v>
      </c>
      <c r="E21" s="4">
        <f t="shared" si="1"/>
        <v>21.239276889599999</v>
      </c>
      <c r="F21" s="7">
        <v>284</v>
      </c>
    </row>
    <row r="22" spans="1:6" ht="27" customHeight="1">
      <c r="A22" s="3">
        <v>20</v>
      </c>
      <c r="B22" s="4">
        <v>11.1</v>
      </c>
      <c r="C22" s="4">
        <v>25</v>
      </c>
      <c r="D22" s="4">
        <f t="shared" si="0"/>
        <v>0.54487125000000003</v>
      </c>
      <c r="E22" s="4">
        <f t="shared" si="1"/>
        <v>19.233955124999998</v>
      </c>
      <c r="F22" s="7">
        <v>285</v>
      </c>
    </row>
    <row r="23" spans="1:6" ht="27" customHeight="1">
      <c r="A23" s="3">
        <v>21</v>
      </c>
      <c r="B23" s="4">
        <v>12.9</v>
      </c>
      <c r="C23" s="4">
        <v>22</v>
      </c>
      <c r="D23" s="4">
        <f t="shared" si="0"/>
        <v>0.49037234400000007</v>
      </c>
      <c r="E23" s="4">
        <f t="shared" si="1"/>
        <v>17.310143743200001</v>
      </c>
      <c r="F23" s="7">
        <v>286</v>
      </c>
    </row>
    <row r="24" spans="1:6" ht="27" customHeight="1">
      <c r="A24" s="3">
        <v>22</v>
      </c>
      <c r="B24" s="4">
        <v>10.9</v>
      </c>
      <c r="C24" s="4">
        <v>21</v>
      </c>
      <c r="D24" s="4">
        <f t="shared" si="0"/>
        <v>0.37753392600000008</v>
      </c>
      <c r="E24" s="4">
        <f t="shared" si="1"/>
        <v>13.326947587800001</v>
      </c>
      <c r="F24" s="7">
        <v>287</v>
      </c>
    </row>
    <row r="25" spans="1:6" ht="27" customHeight="1">
      <c r="A25" s="3">
        <v>23</v>
      </c>
      <c r="B25" s="4">
        <v>11.1</v>
      </c>
      <c r="C25" s="4">
        <v>19</v>
      </c>
      <c r="D25" s="4">
        <f t="shared" si="0"/>
        <v>0.31471763400000002</v>
      </c>
      <c r="E25" s="4">
        <f t="shared" si="1"/>
        <v>11.1095324802</v>
      </c>
      <c r="F25" s="7">
        <v>288</v>
      </c>
    </row>
    <row r="26" spans="1:6" ht="27" customHeight="1">
      <c r="A26" s="3">
        <v>24</v>
      </c>
      <c r="B26" s="4">
        <v>9.5</v>
      </c>
      <c r="C26" s="4">
        <v>26</v>
      </c>
      <c r="D26" s="4">
        <f t="shared" si="0"/>
        <v>0.50438388000000001</v>
      </c>
      <c r="E26" s="4">
        <f t="shared" si="1"/>
        <v>17.804750964</v>
      </c>
      <c r="F26" s="7">
        <v>289</v>
      </c>
    </row>
    <row r="27" spans="1:6" ht="27" customHeight="1">
      <c r="A27" s="3">
        <v>25</v>
      </c>
      <c r="B27" s="4">
        <v>7.4</v>
      </c>
      <c r="C27" s="4">
        <v>23</v>
      </c>
      <c r="D27" s="4">
        <f t="shared" si="0"/>
        <v>0.30745268400000003</v>
      </c>
      <c r="E27" s="4">
        <f t="shared" si="1"/>
        <v>10.853079745200001</v>
      </c>
      <c r="F27" s="7">
        <v>290</v>
      </c>
    </row>
    <row r="28" spans="1:6" s="1" customFormat="1" ht="27" customHeight="1">
      <c r="A28" s="3">
        <v>26</v>
      </c>
      <c r="B28" s="4">
        <v>11.6</v>
      </c>
      <c r="C28" s="4">
        <v>23</v>
      </c>
      <c r="D28" s="4">
        <f t="shared" si="0"/>
        <v>0.48195285600000004</v>
      </c>
      <c r="E28" s="4">
        <f t="shared" si="1"/>
        <v>17.012935816799999</v>
      </c>
      <c r="F28" s="7">
        <v>291</v>
      </c>
    </row>
    <row r="29" spans="1:6" s="1" customFormat="1" ht="27" customHeight="1">
      <c r="A29" s="3">
        <v>27</v>
      </c>
      <c r="B29" s="4">
        <v>11.8</v>
      </c>
      <c r="C29" s="4">
        <v>30</v>
      </c>
      <c r="D29" s="4">
        <f t="shared" si="0"/>
        <v>0.83409480000000003</v>
      </c>
      <c r="E29" s="4">
        <f t="shared" si="1"/>
        <v>29.443546439999999</v>
      </c>
      <c r="F29" s="7">
        <v>292</v>
      </c>
    </row>
    <row r="30" spans="1:6" s="1" customFormat="1" ht="27" customHeight="1">
      <c r="A30" s="3">
        <v>28</v>
      </c>
      <c r="B30" s="4">
        <v>8.6999999999999993</v>
      </c>
      <c r="C30" s="4">
        <v>22</v>
      </c>
      <c r="D30" s="4">
        <f t="shared" si="0"/>
        <v>0.33071623199999994</v>
      </c>
      <c r="E30" s="4">
        <f t="shared" si="1"/>
        <v>11.674282989599996</v>
      </c>
      <c r="F30" s="7">
        <v>293</v>
      </c>
    </row>
    <row r="31" spans="1:6" s="1" customFormat="1" ht="27" customHeight="1">
      <c r="A31" s="3">
        <v>29</v>
      </c>
      <c r="B31" s="4">
        <v>9</v>
      </c>
      <c r="C31" s="4">
        <v>23</v>
      </c>
      <c r="D31" s="4">
        <f t="shared" si="0"/>
        <v>0.37392894000000004</v>
      </c>
      <c r="E31" s="4">
        <f t="shared" si="1"/>
        <v>13.199691582</v>
      </c>
      <c r="F31" s="7">
        <v>294</v>
      </c>
    </row>
    <row r="32" spans="1:6" s="1" customFormat="1" ht="27" customHeight="1">
      <c r="A32" s="3">
        <v>30</v>
      </c>
      <c r="B32" s="4">
        <v>10</v>
      </c>
      <c r="C32" s="4">
        <v>16</v>
      </c>
      <c r="D32" s="4">
        <f t="shared" si="0"/>
        <v>0.2010624</v>
      </c>
      <c r="E32" s="4">
        <f t="shared" si="1"/>
        <v>7.0975027199999996</v>
      </c>
      <c r="F32" s="7">
        <v>295</v>
      </c>
    </row>
    <row r="33" spans="1:6" s="1" customFormat="1" ht="27" customHeight="1">
      <c r="A33" s="3">
        <v>31</v>
      </c>
      <c r="B33" s="4">
        <v>10.7</v>
      </c>
      <c r="C33" s="4">
        <v>26</v>
      </c>
      <c r="D33" s="4">
        <f t="shared" si="0"/>
        <v>0.56809552799999996</v>
      </c>
      <c r="E33" s="4">
        <f t="shared" si="1"/>
        <v>20.053772138399996</v>
      </c>
      <c r="F33" s="7">
        <v>296</v>
      </c>
    </row>
    <row r="34" spans="1:6" s="1" customFormat="1" ht="27" customHeight="1">
      <c r="A34" s="3">
        <v>32</v>
      </c>
      <c r="B34" s="4">
        <v>9.1</v>
      </c>
      <c r="C34" s="4">
        <v>31</v>
      </c>
      <c r="D34" s="4">
        <f t="shared" si="0"/>
        <v>0.68684015399999987</v>
      </c>
      <c r="E34" s="4">
        <f t="shared" si="1"/>
        <v>24.245457436199992</v>
      </c>
      <c r="F34" s="7">
        <v>297</v>
      </c>
    </row>
    <row r="35" spans="1:6" s="1" customFormat="1" ht="27" customHeight="1">
      <c r="A35" s="3">
        <v>33</v>
      </c>
      <c r="B35" s="4">
        <v>9.3000000000000007</v>
      </c>
      <c r="C35" s="4">
        <v>24</v>
      </c>
      <c r="D35" s="4">
        <f t="shared" si="0"/>
        <v>0.42072307200000003</v>
      </c>
      <c r="E35" s="4">
        <f t="shared" si="1"/>
        <v>14.851524441600001</v>
      </c>
      <c r="F35" s="7">
        <v>298</v>
      </c>
    </row>
    <row r="36" spans="1:6" s="1" customFormat="1" ht="27" customHeight="1">
      <c r="A36" s="3">
        <v>34</v>
      </c>
      <c r="B36" s="4">
        <v>9</v>
      </c>
      <c r="C36" s="4">
        <v>27</v>
      </c>
      <c r="D36" s="4">
        <f t="shared" si="0"/>
        <v>0.51530094000000004</v>
      </c>
      <c r="E36" s="4">
        <f t="shared" si="1"/>
        <v>18.190123182000001</v>
      </c>
      <c r="F36" s="7">
        <v>299</v>
      </c>
    </row>
    <row r="37" spans="1:6" s="1" customFormat="1" ht="27" customHeight="1">
      <c r="A37" s="3">
        <v>35</v>
      </c>
      <c r="B37" s="4">
        <v>7</v>
      </c>
      <c r="C37" s="4">
        <v>22</v>
      </c>
      <c r="D37" s="4">
        <f t="shared" si="0"/>
        <v>0.26609352000000003</v>
      </c>
      <c r="E37" s="4">
        <f t="shared" si="1"/>
        <v>9.3931012559999996</v>
      </c>
      <c r="F37" s="7">
        <v>300</v>
      </c>
    </row>
    <row r="38" spans="1:6" s="1" customFormat="1" ht="27" customHeight="1">
      <c r="A38" s="3">
        <v>36</v>
      </c>
      <c r="B38" s="4">
        <v>15.7</v>
      </c>
      <c r="C38" s="4">
        <v>22</v>
      </c>
      <c r="D38" s="4">
        <f t="shared" si="0"/>
        <v>0.59680975199999997</v>
      </c>
      <c r="E38" s="4">
        <f t="shared" si="1"/>
        <v>21.067384245599996</v>
      </c>
      <c r="F38" s="7">
        <v>301</v>
      </c>
    </row>
    <row r="39" spans="1:6" s="1" customFormat="1" ht="27" customHeight="1">
      <c r="A39" s="3">
        <v>37</v>
      </c>
      <c r="B39" s="4">
        <v>12.2</v>
      </c>
      <c r="C39" s="4">
        <v>22</v>
      </c>
      <c r="D39" s="4">
        <f t="shared" si="0"/>
        <v>0.46376299199999999</v>
      </c>
      <c r="E39" s="4">
        <f t="shared" si="1"/>
        <v>16.370833617599999</v>
      </c>
      <c r="F39" s="7">
        <v>302</v>
      </c>
    </row>
    <row r="40" spans="1:6" s="1" customFormat="1" ht="27" customHeight="1">
      <c r="A40" s="3">
        <v>38</v>
      </c>
      <c r="B40" s="4">
        <v>12.4</v>
      </c>
      <c r="C40" s="4">
        <v>22</v>
      </c>
      <c r="D40" s="4">
        <f t="shared" si="0"/>
        <v>0.47136566400000007</v>
      </c>
      <c r="E40" s="4">
        <f t="shared" si="1"/>
        <v>16.639207939200002</v>
      </c>
      <c r="F40" s="7">
        <v>303</v>
      </c>
    </row>
    <row r="41" spans="1:6" s="1" customFormat="1" ht="27" customHeight="1">
      <c r="A41" s="3">
        <v>39</v>
      </c>
      <c r="B41" s="4">
        <v>10.7</v>
      </c>
      <c r="C41" s="4">
        <v>32</v>
      </c>
      <c r="D41" s="4">
        <f t="shared" si="0"/>
        <v>0.86054707200000002</v>
      </c>
      <c r="E41" s="4">
        <f t="shared" si="1"/>
        <v>30.377311641599999</v>
      </c>
      <c r="F41" s="7">
        <v>304</v>
      </c>
    </row>
    <row r="42" spans="1:6" s="1" customFormat="1" ht="27" customHeight="1">
      <c r="A42" s="3">
        <v>40</v>
      </c>
      <c r="B42" s="4">
        <v>6</v>
      </c>
      <c r="C42" s="4">
        <v>24</v>
      </c>
      <c r="D42" s="4">
        <f t="shared" si="0"/>
        <v>0.27143423999999999</v>
      </c>
      <c r="E42" s="4">
        <f t="shared" si="1"/>
        <v>9.581628671999999</v>
      </c>
      <c r="F42" s="7">
        <v>305</v>
      </c>
    </row>
    <row r="43" spans="1:6" s="1" customFormat="1" ht="27" customHeight="1">
      <c r="A43" s="3">
        <v>41</v>
      </c>
      <c r="B43" s="4">
        <v>9.4</v>
      </c>
      <c r="C43" s="4">
        <v>17</v>
      </c>
      <c r="D43" s="4">
        <f t="shared" si="0"/>
        <v>0.21336176400000004</v>
      </c>
      <c r="E43" s="4">
        <f t="shared" si="1"/>
        <v>7.531670269200001</v>
      </c>
      <c r="F43" s="7">
        <v>306</v>
      </c>
    </row>
    <row r="44" spans="1:6" s="1" customFormat="1" ht="27" customHeight="1">
      <c r="A44" s="3">
        <v>42</v>
      </c>
      <c r="B44" s="4">
        <v>10.6</v>
      </c>
      <c r="C44" s="4">
        <v>19</v>
      </c>
      <c r="D44" s="4">
        <f t="shared" si="0"/>
        <v>0.30054116400000003</v>
      </c>
      <c r="E44" s="4">
        <f t="shared" si="1"/>
        <v>10.6091030892</v>
      </c>
      <c r="F44" s="7">
        <v>307</v>
      </c>
    </row>
    <row r="45" spans="1:6" s="1" customFormat="1" ht="27" customHeight="1">
      <c r="A45" s="3">
        <v>43</v>
      </c>
      <c r="B45" s="4">
        <v>9.4</v>
      </c>
      <c r="C45" s="4">
        <v>20</v>
      </c>
      <c r="D45" s="4">
        <f t="shared" si="0"/>
        <v>0.29531040000000003</v>
      </c>
      <c r="E45" s="4">
        <f t="shared" si="1"/>
        <v>10.42445712</v>
      </c>
      <c r="F45" s="7">
        <v>308</v>
      </c>
    </row>
    <row r="46" spans="1:6" s="1" customFormat="1" ht="27" customHeight="1">
      <c r="A46" s="3">
        <v>44</v>
      </c>
      <c r="B46" s="4">
        <v>6</v>
      </c>
      <c r="C46" s="4">
        <v>20</v>
      </c>
      <c r="D46" s="4">
        <f t="shared" si="0"/>
        <v>0.188496</v>
      </c>
      <c r="E46" s="4">
        <f t="shared" si="1"/>
        <v>6.6539087999999991</v>
      </c>
      <c r="F46" s="7">
        <v>309</v>
      </c>
    </row>
    <row r="47" spans="1:6" s="1" customFormat="1" ht="27" customHeight="1">
      <c r="A47" s="3">
        <v>45</v>
      </c>
      <c r="B47" s="4">
        <v>14.7</v>
      </c>
      <c r="C47" s="4">
        <v>21</v>
      </c>
      <c r="D47" s="4">
        <f t="shared" si="0"/>
        <v>0.50915125800000005</v>
      </c>
      <c r="E47" s="4">
        <f t="shared" si="1"/>
        <v>17.973039407400002</v>
      </c>
      <c r="F47" s="7">
        <v>310</v>
      </c>
    </row>
    <row r="48" spans="1:6" s="1" customFormat="1" ht="27" customHeight="1">
      <c r="A48" s="3">
        <v>46</v>
      </c>
      <c r="B48" s="4">
        <v>11</v>
      </c>
      <c r="C48" s="4">
        <v>19</v>
      </c>
      <c r="D48" s="4">
        <f t="shared" si="0"/>
        <v>0.31188234000000004</v>
      </c>
      <c r="E48" s="4">
        <f t="shared" si="1"/>
        <v>11.009446602000001</v>
      </c>
      <c r="F48" s="7">
        <v>311</v>
      </c>
    </row>
    <row r="49" spans="1:6" s="1" customFormat="1" ht="27" customHeight="1">
      <c r="A49" s="3">
        <v>47</v>
      </c>
      <c r="B49" s="4">
        <v>10.4</v>
      </c>
      <c r="C49" s="4">
        <v>17</v>
      </c>
      <c r="D49" s="4">
        <f t="shared" si="0"/>
        <v>0.23605982400000003</v>
      </c>
      <c r="E49" s="4">
        <f t="shared" si="1"/>
        <v>8.3329117872000005</v>
      </c>
      <c r="F49" s="7">
        <v>312</v>
      </c>
    </row>
    <row r="50" spans="1:6" s="1" customFormat="1" ht="27" customHeight="1">
      <c r="A50" s="3">
        <v>48</v>
      </c>
      <c r="B50" s="4">
        <v>10</v>
      </c>
      <c r="C50" s="4">
        <v>23</v>
      </c>
      <c r="D50" s="4">
        <f t="shared" si="0"/>
        <v>0.41547660000000003</v>
      </c>
      <c r="E50" s="4">
        <f t="shared" si="1"/>
        <v>14.66632398</v>
      </c>
      <c r="F50" s="7">
        <v>313</v>
      </c>
    </row>
    <row r="51" spans="1:6" s="1" customFormat="1" ht="27" customHeight="1">
      <c r="A51" s="3">
        <v>49</v>
      </c>
      <c r="B51" s="4">
        <v>9.1</v>
      </c>
      <c r="C51" s="4">
        <v>16</v>
      </c>
      <c r="D51" s="4">
        <f t="shared" si="0"/>
        <v>0.18296678399999999</v>
      </c>
      <c r="E51" s="4">
        <f t="shared" si="1"/>
        <v>6.458727475199999</v>
      </c>
      <c r="F51" s="7">
        <v>314</v>
      </c>
    </row>
    <row r="52" spans="1:6" s="1" customFormat="1" ht="27" customHeight="1">
      <c r="A52" s="3">
        <v>50</v>
      </c>
      <c r="B52" s="4">
        <v>7.5</v>
      </c>
      <c r="C52" s="4">
        <v>19</v>
      </c>
      <c r="D52" s="4">
        <f t="shared" si="0"/>
        <v>0.21264705</v>
      </c>
      <c r="E52" s="4">
        <f t="shared" si="1"/>
        <v>7.5064408649999992</v>
      </c>
      <c r="F52" s="7">
        <v>315</v>
      </c>
    </row>
    <row r="53" spans="1:6" s="1" customFormat="1" ht="27" customHeight="1">
      <c r="A53" s="3">
        <v>51</v>
      </c>
      <c r="B53" s="4">
        <v>9.8000000000000007</v>
      </c>
      <c r="C53" s="4">
        <v>21</v>
      </c>
      <c r="D53" s="4">
        <f t="shared" si="0"/>
        <v>0.33943417200000003</v>
      </c>
      <c r="E53" s="4">
        <f t="shared" si="1"/>
        <v>11.982026271600001</v>
      </c>
      <c r="F53" s="7">
        <v>316</v>
      </c>
    </row>
    <row r="54" spans="1:6" s="1" customFormat="1" ht="27" customHeight="1">
      <c r="A54" s="3">
        <v>52</v>
      </c>
      <c r="B54" s="4">
        <v>13.6</v>
      </c>
      <c r="C54" s="4">
        <v>25</v>
      </c>
      <c r="D54" s="4">
        <f t="shared" si="0"/>
        <v>0.66759000000000002</v>
      </c>
      <c r="E54" s="4">
        <f t="shared" si="1"/>
        <v>23.565926999999999</v>
      </c>
      <c r="F54" s="7">
        <v>317</v>
      </c>
    </row>
    <row r="55" spans="1:6" s="1" customFormat="1" ht="27" customHeight="1">
      <c r="A55" s="3">
        <v>53</v>
      </c>
      <c r="B55" s="4">
        <v>9.6</v>
      </c>
      <c r="C55" s="4">
        <v>26</v>
      </c>
      <c r="D55" s="4">
        <f t="shared" si="0"/>
        <v>0.50969318399999997</v>
      </c>
      <c r="E55" s="4">
        <f t="shared" si="1"/>
        <v>17.992169395199998</v>
      </c>
      <c r="F55" s="7">
        <v>318</v>
      </c>
    </row>
    <row r="56" spans="1:6" s="1" customFormat="1" ht="27" customHeight="1">
      <c r="A56" s="3">
        <v>54</v>
      </c>
      <c r="B56" s="4">
        <v>9.8000000000000007</v>
      </c>
      <c r="C56" s="4">
        <v>16</v>
      </c>
      <c r="D56" s="4">
        <f t="shared" si="0"/>
        <v>0.19704115200000002</v>
      </c>
      <c r="E56" s="4">
        <f t="shared" si="1"/>
        <v>6.9555526656</v>
      </c>
      <c r="F56" s="7">
        <v>319</v>
      </c>
    </row>
    <row r="57" spans="1:6" s="1" customFormat="1" ht="27" customHeight="1">
      <c r="A57" s="3">
        <v>55</v>
      </c>
      <c r="B57" s="4">
        <v>13.3</v>
      </c>
      <c r="C57" s="4">
        <v>19</v>
      </c>
      <c r="D57" s="4">
        <f t="shared" si="0"/>
        <v>0.37709410200000004</v>
      </c>
      <c r="E57" s="4">
        <f t="shared" si="1"/>
        <v>13.3114218006</v>
      </c>
      <c r="F57" s="7">
        <v>320</v>
      </c>
    </row>
    <row r="58" spans="1:6" s="1" customFormat="1" ht="27" customHeight="1">
      <c r="A58" s="3">
        <v>56</v>
      </c>
      <c r="B58" s="4">
        <v>8.6</v>
      </c>
      <c r="C58" s="4">
        <v>22</v>
      </c>
      <c r="D58" s="4">
        <f t="shared" si="0"/>
        <v>0.32691489600000001</v>
      </c>
      <c r="E58" s="4">
        <f t="shared" si="1"/>
        <v>11.5400958288</v>
      </c>
      <c r="F58" s="7">
        <v>321</v>
      </c>
    </row>
    <row r="59" spans="1:6" s="1" customFormat="1" ht="27" customHeight="1">
      <c r="A59" s="3">
        <v>57</v>
      </c>
      <c r="B59" s="4">
        <v>10.6</v>
      </c>
      <c r="C59" s="4">
        <v>21</v>
      </c>
      <c r="D59" s="4">
        <f t="shared" si="0"/>
        <v>0.36714308399999995</v>
      </c>
      <c r="E59" s="4">
        <f t="shared" si="1"/>
        <v>12.960150865199997</v>
      </c>
      <c r="F59" s="7">
        <v>322</v>
      </c>
    </row>
    <row r="60" spans="1:6" s="1" customFormat="1" ht="27" customHeight="1">
      <c r="A60" s="3">
        <v>58</v>
      </c>
      <c r="B60" s="4">
        <v>16.600000000000001</v>
      </c>
      <c r="C60" s="4">
        <v>20</v>
      </c>
      <c r="D60" s="4">
        <f t="shared" si="0"/>
        <v>0.52150560000000001</v>
      </c>
      <c r="E60" s="4">
        <f t="shared" si="1"/>
        <v>18.40914768</v>
      </c>
      <c r="F60" s="7">
        <v>323</v>
      </c>
    </row>
    <row r="61" spans="1:6" s="1" customFormat="1" ht="27" customHeight="1">
      <c r="A61" s="3">
        <v>59</v>
      </c>
      <c r="B61" s="4">
        <v>11.4</v>
      </c>
      <c r="C61" s="4">
        <v>27</v>
      </c>
      <c r="D61" s="4">
        <f t="shared" si="0"/>
        <v>0.65271452400000007</v>
      </c>
      <c r="E61" s="4">
        <f t="shared" si="1"/>
        <v>23.040822697199999</v>
      </c>
      <c r="F61" s="7">
        <v>324</v>
      </c>
    </row>
    <row r="62" spans="1:6" s="1" customFormat="1" ht="27" customHeight="1">
      <c r="A62" s="3">
        <v>60</v>
      </c>
      <c r="B62" s="4">
        <v>10.9</v>
      </c>
      <c r="C62" s="4">
        <v>26</v>
      </c>
      <c r="D62" s="4">
        <f t="shared" si="0"/>
        <v>0.5787141360000001</v>
      </c>
      <c r="E62" s="4">
        <f t="shared" si="1"/>
        <v>20.428609000800002</v>
      </c>
      <c r="F62" s="7">
        <v>325</v>
      </c>
    </row>
    <row r="63" spans="1:6" s="1" customFormat="1" ht="26.1" customHeight="1">
      <c r="A63" s="3" t="s">
        <v>5</v>
      </c>
      <c r="B63" s="3"/>
      <c r="C63" s="3" t="s">
        <v>6</v>
      </c>
      <c r="D63" s="3" t="s">
        <v>7</v>
      </c>
      <c r="E63" s="3" t="s">
        <v>6</v>
      </c>
      <c r="F63" s="8"/>
    </row>
    <row r="64" spans="1:6" s="1" customFormat="1" ht="26.1" customHeight="1">
      <c r="A64" s="5">
        <f>COUNT(A3:A62)</f>
        <v>60</v>
      </c>
      <c r="B64" s="5">
        <f>AVERAGE(B3:B62)</f>
        <v>10.563333333333331</v>
      </c>
      <c r="C64" s="5">
        <f>AVERAGE(C3:C62)</f>
        <v>23</v>
      </c>
      <c r="D64" s="5">
        <f>SUM(D3:D62)</f>
        <v>27.293883078000011</v>
      </c>
      <c r="E64" s="5">
        <f>AVERAGE(E3:E62)</f>
        <v>16.057901210889998</v>
      </c>
      <c r="F64" s="9"/>
    </row>
    <row r="66" spans="1:4" s="1" customFormat="1" ht="26.1" customHeight="1">
      <c r="A66" s="11" t="s">
        <v>9</v>
      </c>
      <c r="B66" s="11">
        <f>MAX(B3:B62)</f>
        <v>16.600000000000001</v>
      </c>
      <c r="C66" s="11">
        <f>MAX(C3:C62)</f>
        <v>35</v>
      </c>
      <c r="D66" s="11">
        <f>MAX(D3:D62)</f>
        <v>1.0487053500000001</v>
      </c>
    </row>
    <row r="67" spans="1:4" s="1" customFormat="1" ht="26.1" customHeight="1">
      <c r="A67" s="11" t="s">
        <v>10</v>
      </c>
      <c r="B67" s="11">
        <f>MIN(B3:B62)</f>
        <v>6</v>
      </c>
      <c r="C67" s="11">
        <f>MIN(C3:C62)</f>
        <v>16</v>
      </c>
      <c r="D67" s="11">
        <f>MIN(D3:D62)</f>
        <v>0.18296678399999999</v>
      </c>
    </row>
  </sheetData>
  <mergeCells count="1">
    <mergeCell ref="A1:E1"/>
  </mergeCells>
  <conditionalFormatting sqref="B3:B62">
    <cfRule type="cellIs" dxfId="4" priority="1" operator="lessThan">
      <formula>1.2</formula>
    </cfRule>
    <cfRule type="cellIs" dxfId="3" priority="5" operator="greaterThan">
      <formula>19</formula>
    </cfRule>
  </conditionalFormatting>
  <conditionalFormatting sqref="C3:C62">
    <cfRule type="cellIs" dxfId="2" priority="2" operator="lessThan">
      <formula>13</formula>
    </cfRule>
    <cfRule type="cellIs" dxfId="1" priority="3" operator="greaterThan">
      <formula>50</formula>
    </cfRule>
    <cfRule type="cellIs" dxfId="0" priority="4" operator="greaterThan">
      <formula>50</formula>
    </cfRule>
  </conditionalFormatting>
  <pageMargins left="0.75" right="0.75" top="1" bottom="1" header="0.5" footer="0.5"/>
  <pageSetup scale="19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Etalage du 12-05-2026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</cp:lastModifiedBy>
  <cp:lastPrinted>2025-04-07T18:42:30Z</cp:lastPrinted>
  <dcterms:modified xsi:type="dcterms:W3CDTF">2026-05-18T14:31:34Z</dcterms:modified>
</cp:coreProperties>
</file>