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B6B6FABE-1F9F-47C0-8312-B4ACA3E6D10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RKU 684202-0 DU 08-05-2026" sheetId="2264" r:id="rId1"/>
  </sheets>
  <calcPr calcId="191029"/>
</workbook>
</file>

<file path=xl/calcChain.xml><?xml version="1.0" encoding="utf-8"?>
<calcChain xmlns="http://schemas.openxmlformats.org/spreadsheetml/2006/main">
  <c r="F12" i="2264" l="1"/>
  <c r="K11" i="2264" s="1"/>
  <c r="G11" i="2264"/>
  <c r="G10" i="2264"/>
  <c r="G9" i="2264"/>
  <c r="G8" i="2264"/>
  <c r="G7" i="2264"/>
  <c r="G6" i="2264"/>
  <c r="G12" i="2264" l="1"/>
  <c r="K9" i="2264" s="1"/>
</calcChain>
</file>

<file path=xl/sharedStrings.xml><?xml version="1.0" encoding="utf-8"?>
<sst xmlns="http://schemas.openxmlformats.org/spreadsheetml/2006/main" count="11" uniqueCount="11">
  <si>
    <t>NBR DELIGNE</t>
  </si>
  <si>
    <t>N°</t>
  </si>
  <si>
    <t>DEBITE</t>
  </si>
  <si>
    <t>Nbre elm</t>
  </si>
  <si>
    <t>LONGUEUR (FEET)</t>
  </si>
  <si>
    <t>LARGEUR (INCH)</t>
  </si>
  <si>
    <t>EPAISSEUR (INCH)</t>
  </si>
  <si>
    <t>VOLUME (m3)</t>
  </si>
  <si>
    <t>EMPOTAGE TECK</t>
  </si>
  <si>
    <t>MRKU 684202/0 (5X3 B GRADE)</t>
  </si>
  <si>
    <t>N°PLOMB = ML-CI 1238871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</si>
</sst>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Arial Black"/>
      <family val="2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indexed="8"/>
      <name val="Calibri"/>
      <family val="2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4">
    <xf numFmtId="0" fontId="0" fillId="0" borderId="0" xfId="0"/>
    <xf numFmtId="0" fontId="1" fillId="3" borderId="1" xfId="2" applyBorder="1"/>
    <xf numFmtId="0" fontId="0" fillId="4" borderId="1" xfId="0" applyFill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3" xfId="0" applyFont="1" applyBorder="1"/>
    <xf numFmtId="0" fontId="1" fillId="2" borderId="1" xfId="1" applyBorder="1" applyAlignment="1">
      <alignment horizontal="center" vertical="center" wrapText="1"/>
    </xf>
    <xf numFmtId="0" fontId="0" fillId="5" borderId="1" xfId="0" applyFill="1" applyBorder="1"/>
    <xf numFmtId="164" fontId="3" fillId="0" borderId="0" xfId="0" applyNumberFormat="1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Accent2" xfId="1" builtinId="33"/>
    <cellStyle name="Accent3" xfId="2" builtinId="37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A990"/>
      <color rgb="FFF55C3D"/>
      <color rgb="FFF2340E"/>
      <color rgb="FFFF3300"/>
      <color rgb="FFCCFFFF"/>
      <color rgb="FF397A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5AAF-85AF-454A-9C06-1A342E88840F}">
  <dimension ref="B2:L12"/>
  <sheetViews>
    <sheetView tabSelected="1" workbookViewId="0">
      <selection activeCell="I12" sqref="I12"/>
    </sheetView>
  </sheetViews>
  <sheetFormatPr baseColWidth="10" defaultRowHeight="15" x14ac:dyDescent="0.25"/>
  <cols>
    <col min="2" max="2" width="6" customWidth="1"/>
    <col min="3" max="3" width="15" customWidth="1"/>
    <col min="4" max="4" width="14" customWidth="1"/>
    <col min="5" max="5" width="15.140625" customWidth="1"/>
    <col min="6" max="6" width="12.5703125" customWidth="1"/>
    <col min="7" max="7" width="12.85546875" customWidth="1"/>
  </cols>
  <sheetData>
    <row r="2" spans="2:12" ht="27" x14ac:dyDescent="0.5">
      <c r="B2" s="10" t="s">
        <v>8</v>
      </c>
      <c r="C2" s="10"/>
      <c r="D2" s="10"/>
      <c r="E2" s="10"/>
      <c r="F2" s="10"/>
      <c r="G2" s="10"/>
    </row>
    <row r="3" spans="2:12" ht="27" customHeight="1" x14ac:dyDescent="0.25">
      <c r="B3" s="11" t="s">
        <v>9</v>
      </c>
      <c r="C3" s="11"/>
      <c r="D3" s="11"/>
      <c r="E3" s="11"/>
      <c r="F3" s="11"/>
      <c r="G3" s="11"/>
    </row>
    <row r="4" spans="2:12" ht="15" customHeight="1" x14ac:dyDescent="0.25">
      <c r="B4" s="12"/>
      <c r="C4" s="12"/>
      <c r="D4" s="12"/>
      <c r="E4" s="12"/>
      <c r="F4" s="12"/>
      <c r="G4" s="12"/>
    </row>
    <row r="5" spans="2:12" ht="30" customHeight="1" x14ac:dyDescent="0.25">
      <c r="B5" s="1" t="s">
        <v>1</v>
      </c>
      <c r="C5" s="7" t="s">
        <v>4</v>
      </c>
      <c r="D5" s="7" t="s">
        <v>5</v>
      </c>
      <c r="E5" s="7" t="s">
        <v>6</v>
      </c>
      <c r="F5" s="7" t="s">
        <v>0</v>
      </c>
      <c r="G5" s="7" t="s">
        <v>7</v>
      </c>
    </row>
    <row r="6" spans="2:12" x14ac:dyDescent="0.25">
      <c r="B6" s="1">
        <v>1</v>
      </c>
      <c r="C6" s="8">
        <v>9.5</v>
      </c>
      <c r="D6" s="8">
        <v>5</v>
      </c>
      <c r="E6" s="8">
        <v>3</v>
      </c>
      <c r="F6" s="8">
        <v>15</v>
      </c>
      <c r="G6" s="6">
        <f>C6*D6*E6/144/35.315*F6</f>
        <v>0.42032422483364018</v>
      </c>
    </row>
    <row r="7" spans="2:12" ht="18.75" x14ac:dyDescent="0.3">
      <c r="B7" s="1">
        <v>2</v>
      </c>
      <c r="C7" s="8">
        <v>9</v>
      </c>
      <c r="D7" s="8">
        <v>5</v>
      </c>
      <c r="E7" s="8">
        <v>3</v>
      </c>
      <c r="F7" s="8">
        <v>120</v>
      </c>
      <c r="G7" s="6">
        <f t="shared" ref="G7:G11" si="0">C7*D7*E7/144/35.315*F7</f>
        <v>3.185615177686536</v>
      </c>
      <c r="I7" s="4" t="s">
        <v>10</v>
      </c>
      <c r="K7" s="5"/>
    </row>
    <row r="8" spans="2:12" ht="18.75" x14ac:dyDescent="0.3">
      <c r="B8" s="1">
        <v>3</v>
      </c>
      <c r="C8" s="8">
        <v>8.5</v>
      </c>
      <c r="D8" s="8">
        <v>5</v>
      </c>
      <c r="E8" s="8">
        <v>3</v>
      </c>
      <c r="F8" s="8">
        <v>55</v>
      </c>
      <c r="G8" s="6">
        <f t="shared" si="0"/>
        <v>1.3789584218226438</v>
      </c>
      <c r="I8" s="4"/>
      <c r="K8" s="5"/>
    </row>
    <row r="9" spans="2:12" ht="18.75" x14ac:dyDescent="0.3">
      <c r="B9" s="1">
        <v>4</v>
      </c>
      <c r="C9" s="8">
        <v>8</v>
      </c>
      <c r="D9" s="8">
        <v>5</v>
      </c>
      <c r="E9" s="8">
        <v>3</v>
      </c>
      <c r="F9" s="8">
        <v>330</v>
      </c>
      <c r="G9" s="6">
        <f t="shared" si="0"/>
        <v>7.7870593232337546</v>
      </c>
      <c r="I9" s="13" t="s">
        <v>2</v>
      </c>
      <c r="J9" s="13"/>
      <c r="K9" s="9">
        <f>G12</f>
        <v>24.517438293454155</v>
      </c>
    </row>
    <row r="10" spans="2:12" ht="18.75" x14ac:dyDescent="0.3">
      <c r="B10" s="1">
        <v>5</v>
      </c>
      <c r="C10" s="8">
        <v>7</v>
      </c>
      <c r="D10" s="8">
        <v>5</v>
      </c>
      <c r="E10" s="8">
        <v>3</v>
      </c>
      <c r="F10" s="8">
        <v>547</v>
      </c>
      <c r="G10" s="6">
        <f t="shared" si="0"/>
        <v>11.294185662371987</v>
      </c>
      <c r="I10" s="4"/>
      <c r="K10" s="5"/>
    </row>
    <row r="11" spans="2:12" ht="18.75" x14ac:dyDescent="0.3">
      <c r="B11" s="1">
        <v>6</v>
      </c>
      <c r="C11" s="8">
        <v>4.5</v>
      </c>
      <c r="D11" s="8">
        <v>5</v>
      </c>
      <c r="E11" s="8">
        <v>3</v>
      </c>
      <c r="F11" s="8">
        <v>34</v>
      </c>
      <c r="G11" s="6">
        <f t="shared" si="0"/>
        <v>0.45129548350559257</v>
      </c>
      <c r="I11" s="4" t="s">
        <v>3</v>
      </c>
      <c r="K11" s="5">
        <f>F12</f>
        <v>1101</v>
      </c>
      <c r="L11" s="3"/>
    </row>
    <row r="12" spans="2:12" x14ac:dyDescent="0.25">
      <c r="F12">
        <f>SUM(F6:F11)</f>
        <v>1101</v>
      </c>
      <c r="G12" s="2">
        <f>SUM(G6:G11)</f>
        <v>24.517438293454155</v>
      </c>
    </row>
  </sheetData>
  <mergeCells count="3">
    <mergeCell ref="B2:G2"/>
    <mergeCell ref="B3:G4"/>
    <mergeCell ref="I9:J9"/>
  </mergeCells>
  <conditionalFormatting sqref="D6:D11">
    <cfRule type="cellIs" dxfId="3" priority="4" operator="greaterThan">
      <formula>20</formula>
    </cfRule>
  </conditionalFormatting>
  <conditionalFormatting sqref="E6:E11">
    <cfRule type="cellIs" dxfId="2" priority="3" operator="greaterThan">
      <formula>4</formula>
    </cfRule>
  </conditionalFormatting>
  <conditionalFormatting sqref="C6:C11">
    <cfRule type="cellIs" dxfId="1" priority="1" operator="lessThan">
      <formula>2.25</formula>
    </cfRule>
    <cfRule type="cellIs" dxfId="0" priority="2" operator="greaterThan">
      <formula>10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MRKU 684202-0 DU 08-05-2026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Utilisateur</cp:lastModifiedBy>
  <cp:lastPrinted>2026-04-23T13:09:42Z</cp:lastPrinted>
  <dcterms:created xsi:type="dcterms:W3CDTF">2016-08-19T13:00:05Z</dcterms:created>
  <dcterms:modified xsi:type="dcterms:W3CDTF">2026-05-08T11:54:41Z</dcterms:modified>
</cp:coreProperties>
</file>